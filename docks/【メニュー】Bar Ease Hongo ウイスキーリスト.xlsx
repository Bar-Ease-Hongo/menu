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ウイスキー" sheetId="1" r:id="rId4"/>
    <sheet state="visible" name="現行販売" sheetId="2" r:id="rId5"/>
    <sheet state="visible" name="シングルカスク" sheetId="3" r:id="rId6"/>
    <sheet state="visible" name="シングルモルト" sheetId="4" r:id="rId7"/>
    <sheet state="visible" name="サントリー" sheetId="5" r:id="rId8"/>
    <sheet state="visible" name="ニッカ" sheetId="6" r:id="rId9"/>
    <sheet state="visible" name="キリン" sheetId="7" r:id="rId10"/>
    <sheet state="visible" name="ベンチャー" sheetId="8" r:id="rId11"/>
    <sheet state="visible" name="マルス" sheetId="9" r:id="rId12"/>
    <sheet state="visible" name="ガイアフロー" sheetId="10" r:id="rId13"/>
    <sheet state="visible" name="サクラオB&amp;D" sheetId="11" r:id="rId14"/>
    <sheet state="visible" name="堅展実業" sheetId="12" r:id="rId15"/>
    <sheet state="visible" name="その他" sheetId="13" r:id="rId16"/>
    <sheet state="visible" name="海外" sheetId="14" r:id="rId17"/>
    <sheet state="visible" name="スペシャル" sheetId="15" r:id="rId18"/>
  </sheets>
  <definedNames/>
  <calcPr/>
</workbook>
</file>

<file path=xl/sharedStrings.xml><?xml version="1.0" encoding="utf-8"?>
<sst xmlns="http://schemas.openxmlformats.org/spreadsheetml/2006/main" count="2900" uniqueCount="716">
  <si>
    <t>国</t>
  </si>
  <si>
    <t>製造会社</t>
  </si>
  <si>
    <t>販売会社</t>
  </si>
  <si>
    <t>蒸溜所</t>
  </si>
  <si>
    <t>タイプ</t>
  </si>
  <si>
    <t>樽番号</t>
  </si>
  <si>
    <t>商品名</t>
  </si>
  <si>
    <t>備考</t>
  </si>
  <si>
    <t>熟成地</t>
  </si>
  <si>
    <t>樽種</t>
  </si>
  <si>
    <t>熟成期間</t>
  </si>
  <si>
    <t>現行</t>
  </si>
  <si>
    <t>ピート感</t>
  </si>
  <si>
    <t>度数</t>
  </si>
  <si>
    <t>本数</t>
  </si>
  <si>
    <t>30ml</t>
  </si>
  <si>
    <t>15ml</t>
  </si>
  <si>
    <t>10ml</t>
  </si>
  <si>
    <t>ブログ</t>
  </si>
  <si>
    <t>JP</t>
  </si>
  <si>
    <t>サントリー</t>
  </si>
  <si>
    <t>山崎</t>
  </si>
  <si>
    <t>シングルモルト</t>
  </si>
  <si>
    <t>✓</t>
  </si>
  <si>
    <t>山崎 10年</t>
  </si>
  <si>
    <t>山崎 12年</t>
  </si>
  <si>
    <t>山崎 18年</t>
  </si>
  <si>
    <t>山崎 リミテッドエディション 2014</t>
  </si>
  <si>
    <t>山崎 リミテッドエディション 2015</t>
  </si>
  <si>
    <t>山崎蒸溜所</t>
  </si>
  <si>
    <t>蒸溜所限定</t>
  </si>
  <si>
    <t>山崎蒸溜所 ピーテッド</t>
  </si>
  <si>
    <t>エッセンスオブサントリー</t>
  </si>
  <si>
    <t>WSO-007</t>
  </si>
  <si>
    <t>Whisky Shop W.限定</t>
  </si>
  <si>
    <t>白州</t>
  </si>
  <si>
    <t>白州 12年</t>
  </si>
  <si>
    <t>白州 18年</t>
  </si>
  <si>
    <t>ブレンデッドモルト</t>
  </si>
  <si>
    <t>北杜 12年</t>
  </si>
  <si>
    <t>知多</t>
  </si>
  <si>
    <t>シングルグレーン</t>
  </si>
  <si>
    <t>知多蒸溜所特製グレーン</t>
  </si>
  <si>
    <t>白州蒸溜所 ライタイプ</t>
  </si>
  <si>
    <t>ブレンデッド</t>
  </si>
  <si>
    <t>響 ジャパニーズハーモニー</t>
  </si>
  <si>
    <t>響 ブレンダーズチョイス</t>
  </si>
  <si>
    <t>響 マスターズセレクト</t>
  </si>
  <si>
    <t>免税店限定</t>
  </si>
  <si>
    <t>響 12年</t>
  </si>
  <si>
    <t>響 17年</t>
  </si>
  <si>
    <t>響 21年</t>
  </si>
  <si>
    <t>碧Ao</t>
  </si>
  <si>
    <t>碧Ao スモーキープレジャー</t>
  </si>
  <si>
    <t>角瓶</t>
  </si>
  <si>
    <t>角瓶 黒</t>
  </si>
  <si>
    <t>角瓶 白</t>
  </si>
  <si>
    <t>角瓶 味わい旨口</t>
  </si>
  <si>
    <t>特角 10年</t>
  </si>
  <si>
    <t>角瓶発売60周年記念</t>
  </si>
  <si>
    <t>季</t>
  </si>
  <si>
    <t>北米限定</t>
  </si>
  <si>
    <t>サントリーオールド</t>
  </si>
  <si>
    <t>サントリーオールド 樽型ボトル</t>
  </si>
  <si>
    <t>特級酒</t>
  </si>
  <si>
    <t>スペシャルリザーブ</t>
  </si>
  <si>
    <t>スペシャルリザーブ シルキー</t>
  </si>
  <si>
    <t>スペシャルリザーブ 10年 シェリー樽仕上げ</t>
  </si>
  <si>
    <t>ローヤル</t>
  </si>
  <si>
    <t>ローヤル 60ラベル</t>
  </si>
  <si>
    <t>ローヤル 12年</t>
  </si>
  <si>
    <t>ローヤル 15年</t>
  </si>
  <si>
    <t>ローヤルプレミアム 15年</t>
  </si>
  <si>
    <t>ホワイト</t>
  </si>
  <si>
    <t>レッド</t>
  </si>
  <si>
    <t>2級酒</t>
  </si>
  <si>
    <t>ブレンデッド リッチタイプ 2019</t>
  </si>
  <si>
    <t>21 ライト&amp;スムース</t>
  </si>
  <si>
    <t>Q</t>
  </si>
  <si>
    <t>1級酒</t>
  </si>
  <si>
    <t>エイジング 15年</t>
  </si>
  <si>
    <t>エクストラゴールド</t>
  </si>
  <si>
    <t>エクセレンス</t>
  </si>
  <si>
    <t>クラシック</t>
  </si>
  <si>
    <t>クレスト 12年</t>
  </si>
  <si>
    <t>ゴールド</t>
  </si>
  <si>
    <t>スモーキー&amp;カンパニー ナチュラルメロウ</t>
  </si>
  <si>
    <t>ミレニアム 15年</t>
  </si>
  <si>
    <t>座</t>
  </si>
  <si>
    <t>杉樽原酒　他</t>
  </si>
  <si>
    <t>ニッカ</t>
  </si>
  <si>
    <t>余市</t>
  </si>
  <si>
    <t>シングルカスク</t>
  </si>
  <si>
    <t>#420919</t>
  </si>
  <si>
    <t>余市 10年</t>
  </si>
  <si>
    <t>マイウイスキー</t>
  </si>
  <si>
    <t>ホワイトオーク新樽</t>
  </si>
  <si>
    <t>#420921</t>
  </si>
  <si>
    <t>#420926</t>
  </si>
  <si>
    <t>#415211</t>
  </si>
  <si>
    <t>余市 旧ボトル</t>
  </si>
  <si>
    <t>余市 12年</t>
  </si>
  <si>
    <t>余市 グランデ</t>
  </si>
  <si>
    <t>余市 ウッディ＆バニリック</t>
  </si>
  <si>
    <t>余市 シェリー＆スイート</t>
  </si>
  <si>
    <t>余市 ピーティ＆ソルティ</t>
  </si>
  <si>
    <t>余市 モスカテルウッドフィニッシュ</t>
  </si>
  <si>
    <t>余市 マンサニーリャウッドフィニッシュ</t>
  </si>
  <si>
    <t>余市 アップルブランデーウッドフィニッシュ</t>
  </si>
  <si>
    <t>余市 ノンピーテッド</t>
  </si>
  <si>
    <t>ディスカバリーシリーズ</t>
  </si>
  <si>
    <t>余市 アロマティックイースト</t>
  </si>
  <si>
    <t>北海道海洋熟成</t>
  </si>
  <si>
    <t>12ヶ月海底熟成 北海道産ウイスキー</t>
  </si>
  <si>
    <t>宮城峡</t>
  </si>
  <si>
    <t>宮城峡 旧ボトル</t>
  </si>
  <si>
    <t>宮城峡 10年</t>
  </si>
  <si>
    <t>宮城峡 12年</t>
  </si>
  <si>
    <t>宮城峡 15年</t>
  </si>
  <si>
    <t>宮城峡 グランデ</t>
  </si>
  <si>
    <t>宮城峡 2000’</t>
  </si>
  <si>
    <t>宮城峡 フルーティ&amp;リッチ</t>
  </si>
  <si>
    <t>宮城峡 モルティ&amp;ソフト</t>
  </si>
  <si>
    <t>宮城峡 モルティ&amp;ソルト 12年</t>
  </si>
  <si>
    <t>宮城峡 シェリー&amp;スイート</t>
  </si>
  <si>
    <t>宮城峡 シェリー&amp;スイート 12年</t>
  </si>
  <si>
    <t>宮城峡 モスカテルウッドフィニッシュ</t>
  </si>
  <si>
    <t>宮城峡 マンサニーリャウッドフィニッシュ</t>
  </si>
  <si>
    <t>宮城峡 アップルブランデーウッドフィニッシュ</t>
  </si>
  <si>
    <t>宮城峡 ピーテッド</t>
  </si>
  <si>
    <t>宮城峡 アロマティックイースト</t>
  </si>
  <si>
    <t>仙台 12年</t>
  </si>
  <si>
    <t>竹鶴</t>
  </si>
  <si>
    <t>竹鶴 旧ボトル</t>
  </si>
  <si>
    <t>竹鶴 12年 角ボトル</t>
  </si>
  <si>
    <t>竹鶴 17年</t>
  </si>
  <si>
    <t>竹鶴 21年</t>
  </si>
  <si>
    <t>竹鶴 21年 ノンチルフィルタード</t>
  </si>
  <si>
    <t>創業80周年記念</t>
  </si>
  <si>
    <t>竹鶴 25年</t>
  </si>
  <si>
    <t>ピュアモルト ブラック</t>
  </si>
  <si>
    <t>ピュアモルト レッド</t>
  </si>
  <si>
    <t>セッション</t>
  </si>
  <si>
    <t>モルト</t>
  </si>
  <si>
    <t>カフェモルト</t>
  </si>
  <si>
    <t>モルトクラブ</t>
  </si>
  <si>
    <t>カフェグレーン</t>
  </si>
  <si>
    <t>シングルカフェグレーン ウッディ&amp;メロウ</t>
  </si>
  <si>
    <t>シングルカフェグレーン 12年 ウッディ&amp;メロウ</t>
  </si>
  <si>
    <t>ブレンデッドグレーン</t>
  </si>
  <si>
    <t>ニッカ ザ・グレーン</t>
  </si>
  <si>
    <t xml:space="preserve">ザニッカ テーラード </t>
  </si>
  <si>
    <t>ザ・ニッカ 12年</t>
  </si>
  <si>
    <t>鶴</t>
  </si>
  <si>
    <t>余市蒸溜所限定ブレンデッド</t>
  </si>
  <si>
    <t>宮城峡蒸溜所限定ブレンデッド</t>
  </si>
  <si>
    <t>スーパーセッション</t>
  </si>
  <si>
    <t>スーパーニッカ</t>
  </si>
  <si>
    <t>フロムザバレル</t>
  </si>
  <si>
    <t>フロンティア</t>
  </si>
  <si>
    <t>ブラックニッカ スペシャル</t>
  </si>
  <si>
    <t>ブラックニッカ ディープブレンド</t>
  </si>
  <si>
    <t>ブラックニッカ ディープブレンド エクストラスイート</t>
  </si>
  <si>
    <t>ブラックニッカ ディープブレンド ナイトクルーズ</t>
  </si>
  <si>
    <t>ブラックニッカ ブレンダーズスピリット</t>
  </si>
  <si>
    <t>ブラックニッカ リッチブレンド</t>
  </si>
  <si>
    <t>ブラックニッカ リッチブレンド エクストラシェリー</t>
  </si>
  <si>
    <t>ブラックニッカ リッチブレンド コンフォートアロマ</t>
  </si>
  <si>
    <t>ブラックニッカ 8年</t>
  </si>
  <si>
    <t>ブラックニッカ アロマティック</t>
  </si>
  <si>
    <t>ブラックニッカ クロスオーバー</t>
  </si>
  <si>
    <t>初号ブラックニッカ復刻版</t>
  </si>
  <si>
    <t>ニューブレンド ブラックニッカ</t>
  </si>
  <si>
    <t>初号ハイニッカ復刻版</t>
  </si>
  <si>
    <t>ニューブレンド ハイニッカ</t>
  </si>
  <si>
    <t>デイズ</t>
  </si>
  <si>
    <t>欧米限定</t>
  </si>
  <si>
    <t>エイジングトリプル</t>
  </si>
  <si>
    <t>G&amp;G</t>
  </si>
  <si>
    <t>フォーチューン ‘80</t>
  </si>
  <si>
    <t>キングスランド</t>
  </si>
  <si>
    <t>グランドニッカ</t>
  </si>
  <si>
    <t>コーンベース</t>
  </si>
  <si>
    <t>マイルドニッカ</t>
  </si>
  <si>
    <t>モルト&amp;ライ コネクション</t>
  </si>
  <si>
    <t>アクアウイスキー</t>
  </si>
  <si>
    <t>北海道限定</t>
  </si>
  <si>
    <t>キリン</t>
  </si>
  <si>
    <t>御殿場</t>
  </si>
  <si>
    <t>#M806</t>
  </si>
  <si>
    <t>富士御殿場 10年</t>
  </si>
  <si>
    <t>バーボン樽</t>
  </si>
  <si>
    <t>2002-2012</t>
  </si>
  <si>
    <t>#M820</t>
  </si>
  <si>
    <t>2003-2013</t>
  </si>
  <si>
    <t>#A050304</t>
  </si>
  <si>
    <t>富士御殿場蒸溜所 ディスティラリーズセレクト モルト</t>
  </si>
  <si>
    <t>?-2018</t>
  </si>
  <si>
    <t>シングルカスクグレーン</t>
  </si>
  <si>
    <t>#C043103</t>
  </si>
  <si>
    <t>富士御殿場蒸溜所 ディスティラリーズセレクト グレーン</t>
  </si>
  <si>
    <t>富士 シングルモルト</t>
  </si>
  <si>
    <t>富士御殿場蒸溜所 20周年ピュアモルト</t>
  </si>
  <si>
    <t>蒸溜所20周年記念</t>
  </si>
  <si>
    <t>富士御殿場蒸溜所 ブレンダーズチョイス 2014 シングルモルト</t>
  </si>
  <si>
    <t>富士御殿場蒸溜所 12年 赤ワインカスクフィニッシュ</t>
  </si>
  <si>
    <t>富士御殿場蒸溜所 17年</t>
  </si>
  <si>
    <t>富士山麓 18年</t>
  </si>
  <si>
    <t>富士 シングルグレーン</t>
  </si>
  <si>
    <t>富士御殿場蒸溜所 シングルグレーン 40th.アニバーサリー</t>
  </si>
  <si>
    <t>蒸溜所40周年記念</t>
  </si>
  <si>
    <t>富士御殿場蒸溜所 ブレンダーズチョイス 2014 シングルグレーン</t>
  </si>
  <si>
    <t>シングルブレンデッド</t>
  </si>
  <si>
    <t>富士 シングルブレンデッド</t>
  </si>
  <si>
    <t>富士 シングルブレンデッド 2022 マスターピース</t>
  </si>
  <si>
    <t>富士山麓 シグネチャーブレンド</t>
  </si>
  <si>
    <t>富士山麓 樽熟 50°</t>
  </si>
  <si>
    <t>富士山麓 樽熟原酒 50°</t>
  </si>
  <si>
    <t>富士山麓 18年 ブレンデッド 2016</t>
  </si>
  <si>
    <t>オークマスター 樽香る辛口ウイスキー</t>
  </si>
  <si>
    <t>薫風 2017</t>
  </si>
  <si>
    <t>for 酒やビック</t>
  </si>
  <si>
    <t>陸</t>
  </si>
  <si>
    <t>キリンシーグラム</t>
  </si>
  <si>
    <t>BAR</t>
  </si>
  <si>
    <t>エンブレム</t>
  </si>
  <si>
    <t>クレセント</t>
  </si>
  <si>
    <t>サタデー 1</t>
  </si>
  <si>
    <t>サタデー 2</t>
  </si>
  <si>
    <t>ダンバー</t>
  </si>
  <si>
    <t>ニュース</t>
  </si>
  <si>
    <t>ロバートブラウン</t>
  </si>
  <si>
    <t>ロバートブラウン ジュニア</t>
  </si>
  <si>
    <t>ベンチャー</t>
  </si>
  <si>
    <t>秩父</t>
  </si>
  <si>
    <t>#644</t>
  </si>
  <si>
    <t>イチローズモルト 干支ラベル(申)</t>
  </si>
  <si>
    <t>for 高島屋</t>
  </si>
  <si>
    <t>2010-?</t>
  </si>
  <si>
    <t>#2641</t>
  </si>
  <si>
    <t>イチローズモルト 和柄ラベル 2010</t>
  </si>
  <si>
    <t>#657</t>
  </si>
  <si>
    <t>イチローズモルト秩父 MDC 4年</t>
  </si>
  <si>
    <t>for BAR BARNS</t>
  </si>
  <si>
    <t>2010.1-2014.3</t>
  </si>
  <si>
    <t>#659</t>
  </si>
  <si>
    <t>for シルバーシール</t>
  </si>
  <si>
    <t>2010.1-2014.2</t>
  </si>
  <si>
    <t>#207</t>
  </si>
  <si>
    <t>イチローズモルト秩父 MDC 5年</t>
  </si>
  <si>
    <t>魔女</t>
  </si>
  <si>
    <t>2008.12-2014.3</t>
  </si>
  <si>
    <t>#198</t>
  </si>
  <si>
    <t>イチローズモルト秩父 MDC 6年</t>
  </si>
  <si>
    <t>for 紀伊國屋酒店</t>
  </si>
  <si>
    <t>2008.12-2015.1</t>
  </si>
  <si>
    <t>#188</t>
  </si>
  <si>
    <t>for 芹沢酒店</t>
  </si>
  <si>
    <t>2008.12-2015.3</t>
  </si>
  <si>
    <t>#200</t>
  </si>
  <si>
    <t>イチローズモルト秩父 MDC 7年</t>
  </si>
  <si>
    <t>for 武蔵屋</t>
  </si>
  <si>
    <t>2008.12-2016.6</t>
  </si>
  <si>
    <t>#14569</t>
  </si>
  <si>
    <t>イチローズモルト秩父 SERIZAWA100th. Anniversary</t>
  </si>
  <si>
    <t>シェリー樽</t>
  </si>
  <si>
    <t>2017-2024</t>
  </si>
  <si>
    <t>#4426</t>
  </si>
  <si>
    <t>イチローズモルト秩父 ニホンライチョウ</t>
  </si>
  <si>
    <t>for ウイスキートーク福岡2021</t>
  </si>
  <si>
    <t>2015-2021</t>
  </si>
  <si>
    <t>#7199</t>
  </si>
  <si>
    <t>イチローズモルト秩父 ラッコ</t>
  </si>
  <si>
    <t>for ウイスキートーク福岡2022</t>
  </si>
  <si>
    <t>ブルゴーニュワイン樽</t>
  </si>
  <si>
    <t>2016-2022</t>
  </si>
  <si>
    <t>#23</t>
  </si>
  <si>
    <t>イチローズモルト秩父 ニューボーン</t>
  </si>
  <si>
    <t>ホグスヘッド新樽</t>
  </si>
  <si>
    <t>2008.4-2008.10</t>
  </si>
  <si>
    <t>シングルカスクブレンデッド</t>
  </si>
  <si>
    <t>イチローズモルト 神田バーテンダーズチョイス 2017</t>
  </si>
  <si>
    <t>イチローズモルト 神田バーテンダーズチョイス 2021</t>
  </si>
  <si>
    <t>#4080</t>
  </si>
  <si>
    <t>イチローズモルト&amp;グレーン</t>
  </si>
  <si>
    <t>for ボン洋酒店30周年記念</t>
  </si>
  <si>
    <t>？-2016.11</t>
  </si>
  <si>
    <t>#4083</t>
  </si>
  <si>
    <t>for 秋田屋160周年記念</t>
  </si>
  <si>
    <t>？-2016.3</t>
  </si>
  <si>
    <t>#4994</t>
  </si>
  <si>
    <t>for Bar Show 2020</t>
  </si>
  <si>
    <t>?-2016.3</t>
  </si>
  <si>
    <t>イチローズモルト 15年 ファイナルヴィンテージオブ羽生</t>
  </si>
  <si>
    <t>イチローズモルト秩父 ディスティラリーⅡ</t>
  </si>
  <si>
    <t>イチローズモルト秩父 オンザウェイ 2013</t>
  </si>
  <si>
    <t>イチローズモルト秩父 オンザウェイ 2015</t>
  </si>
  <si>
    <t>イチローズモルト秩父 オンザウェイ 2019</t>
  </si>
  <si>
    <t>イチローズモルト秩父 オンザウェイ 2024</t>
  </si>
  <si>
    <t>イチローズモルト秩父 ちびダル 2014</t>
  </si>
  <si>
    <t>イチローズモルト秩父 ピーテッド 2015</t>
  </si>
  <si>
    <t>イチローズモルト秩父 ピーテッド 2018</t>
  </si>
  <si>
    <t>イチローズモルト秩父 ピーテッド 2022</t>
  </si>
  <si>
    <t>イチローズモルト秩父 IPAカスクフィニッシュ 2017</t>
  </si>
  <si>
    <t>イチローズモルト秩父 レッドワインカスク 2023</t>
  </si>
  <si>
    <t>イチローズモルト秩父 ファーストテン</t>
  </si>
  <si>
    <t>イチローズモルト秩父 食源探訪 2015W</t>
  </si>
  <si>
    <t>for 西武・そごう</t>
  </si>
  <si>
    <t>トリプルカスク</t>
  </si>
  <si>
    <t>#5263 #13487 #13488</t>
  </si>
  <si>
    <t>イチローズモルト秩父 秩父エデイション 2023</t>
  </si>
  <si>
    <t>秩父市内限定</t>
  </si>
  <si>
    <t>イチローズモルト&amp;グレーン ホワイトリーフ</t>
  </si>
  <si>
    <t>イチローズモルト&amp;グレーン クラシカルエディション</t>
  </si>
  <si>
    <t>イチローズモルト&amp;グレーン リミテッドエディション</t>
  </si>
  <si>
    <t>イチローズモルト&amp;グレーン 505</t>
  </si>
  <si>
    <t>イチローズモルト&amp;グレーン 20th.アニバーサリーエディション</t>
  </si>
  <si>
    <t>創業20周年記念</t>
  </si>
  <si>
    <t>イチローズ モルト&amp;グレーン ジャパニーズブレンデッド 2022</t>
  </si>
  <si>
    <t>イチローズモルト ミズナラウッドリザーヴ</t>
  </si>
  <si>
    <t>イチローズモルト ワインウッドリザーヴ</t>
  </si>
  <si>
    <t>イチローズモルト ダブルディスティラリーズ</t>
  </si>
  <si>
    <t>イチローズモルト ダブルディスティラリーズ 秩父×駒ヶ岳 2021</t>
  </si>
  <si>
    <t>マルス</t>
  </si>
  <si>
    <t>ブラックアダー</t>
  </si>
  <si>
    <t>駒ヶ岳</t>
  </si>
  <si>
    <t>#1647</t>
  </si>
  <si>
    <t>ブラックアダー マルス 3年</t>
  </si>
  <si>
    <t>#3480</t>
  </si>
  <si>
    <t>マルス モルトギャラリー</t>
  </si>
  <si>
    <t>#5242</t>
  </si>
  <si>
    <t>#5111</t>
  </si>
  <si>
    <t>マルスモルト ル・パピヨン第2弾 アオスジアゲハ</t>
  </si>
  <si>
    <t>ル・パピヨンシリーズ</t>
  </si>
  <si>
    <t>#1860</t>
  </si>
  <si>
    <t>マルスモルト ル・パピヨン第3弾 ミヤマシロチョウ</t>
  </si>
  <si>
    <t>#2008</t>
  </si>
  <si>
    <t>マルスモルト ル・パピヨン第4弾 ツマベニチョウ</t>
  </si>
  <si>
    <t>#1870</t>
  </si>
  <si>
    <t>マルスモルト ル・パピヨン第5弾 ミヤマカラスアゲハ</t>
  </si>
  <si>
    <t>#5152</t>
  </si>
  <si>
    <t>マルスモルト ル・パピヨン第6弾 イシガケチョウ</t>
  </si>
  <si>
    <t>#1698</t>
  </si>
  <si>
    <t>マルスモルト ル・パピヨン第7弾 ギフチョウ</t>
  </si>
  <si>
    <t>ダブルカスク</t>
  </si>
  <si>
    <t>#2021 #2024</t>
  </si>
  <si>
    <t>マルスモルト ル・パピヨン第8弾 ヤクシマルシジミ</t>
  </si>
  <si>
    <t>#3397</t>
  </si>
  <si>
    <t>マルスモルト ル・パピヨン第9弾 クモマツマキチョウ</t>
  </si>
  <si>
    <t>#3356</t>
  </si>
  <si>
    <t>マルスモルト ル・パピヨン第10弾 クジャクチョウ</t>
  </si>
  <si>
    <t>#T262 #284</t>
  </si>
  <si>
    <t>マルスモルト ル・パピヨン第11弾 モンキアゲハ</t>
  </si>
  <si>
    <t>#1705</t>
  </si>
  <si>
    <t>マルスモルト ル・パピヨン第13弾 アイノミドリシジミ</t>
  </si>
  <si>
    <t>#1483 #3433</t>
  </si>
  <si>
    <t>マルスモルト ル・パピヨン第14弾 ヒメシロチョウ</t>
  </si>
  <si>
    <t>#3368 #3441</t>
  </si>
  <si>
    <t>マルスモルト ル・パピヨン第15弾 ミヤマシジミ</t>
  </si>
  <si>
    <t>#2029</t>
  </si>
  <si>
    <t>マルスモルト ル・パピヨン第16弾 ナガサキアゲハ</t>
  </si>
  <si>
    <t>#5118 #T521 #522</t>
  </si>
  <si>
    <t>マルスモルト ル・パピヨン第17弾 ルーミスシジミ</t>
  </si>
  <si>
    <t>#6280 #6281 #6282</t>
  </si>
  <si>
    <t>マルスモルト ル・パピヨン第18弾 ミヤマモンキチョウ</t>
  </si>
  <si>
    <t>#T690 #T1597</t>
  </si>
  <si>
    <t>マルスモルト ル・パピヨン第19弾 ナミアゲハ</t>
  </si>
  <si>
    <t>ポートワイン樽 マルサラワイン樽</t>
  </si>
  <si>
    <t>#902</t>
  </si>
  <si>
    <t>for 成城石井</t>
  </si>
  <si>
    <t>#1436</t>
  </si>
  <si>
    <t>駒ヶ岳 2012</t>
  </si>
  <si>
    <t>for 三越伊勢丹</t>
  </si>
  <si>
    <t>#1493</t>
  </si>
  <si>
    <t>駒ヶ岳 6年</t>
  </si>
  <si>
    <t>#1663</t>
  </si>
  <si>
    <t>駒ヶ岳 7年</t>
  </si>
  <si>
    <t>#1704</t>
  </si>
  <si>
    <t>駒ヶ岳 2013</t>
  </si>
  <si>
    <t>for ePower</t>
  </si>
  <si>
    <t>#1706</t>
  </si>
  <si>
    <t>for ウイスキートーク福岡2016</t>
  </si>
  <si>
    <t>#1753</t>
  </si>
  <si>
    <t>駒ヶ岳 2014 信州バーテンダーズチョイス 鮮緑</t>
  </si>
  <si>
    <t>for NBA長野支部</t>
  </si>
  <si>
    <t>#1834</t>
  </si>
  <si>
    <t>#1941</t>
  </si>
  <si>
    <t>駒ヶ岳 2015</t>
  </si>
  <si>
    <t>for WLN2019</t>
  </si>
  <si>
    <t>#3319</t>
  </si>
  <si>
    <t>for BAR fishborn10周年記念</t>
  </si>
  <si>
    <t>駒ヶ岳 2016 南信州ビールIPAカスクフィニッシュ</t>
  </si>
  <si>
    <t>津貫</t>
  </si>
  <si>
    <t>#T128</t>
  </si>
  <si>
    <t>#T312</t>
  </si>
  <si>
    <t>for ePower15周年記念</t>
  </si>
  <si>
    <t>駒ヶ岳 リミテッドエディション 2018</t>
  </si>
  <si>
    <t>駒ヶ岳 リミテッドエディション 2019</t>
  </si>
  <si>
    <t>駒ヶ岳 リミテッドエディション 2020</t>
  </si>
  <si>
    <t>駒ヶ岳 2021エディション</t>
  </si>
  <si>
    <t>駒ヶ岳 2022エディション</t>
  </si>
  <si>
    <t>駒ヶ岳 2023エディション</t>
  </si>
  <si>
    <t>駒ヶ岳 2024エディション</t>
  </si>
  <si>
    <t>駒ヶ岳 IPAカスクフィニッシュ 2020</t>
  </si>
  <si>
    <t>駒ヶ岳 アサギマダラの里 2020</t>
  </si>
  <si>
    <t>駒ヶ岳 アサギマダラの里 2021</t>
  </si>
  <si>
    <t>駒ヶ岳 クリスチャンドルーアンカスクフィニッシュ</t>
  </si>
  <si>
    <t>駒ヶ岳 シェリー&amp;アメリカンオーク 2011</t>
  </si>
  <si>
    <t>駒ヶ岳 シェリー&amp;アメリカンオーク 2011 ワインカスクフィニッシュ</t>
  </si>
  <si>
    <t>駒ヶ岳 ダブルセラーズ 2018</t>
  </si>
  <si>
    <t>駒ヶ岳 ダブルセラーズ 2019</t>
  </si>
  <si>
    <t>駒ヶ岳 屋久島エイジング 2014</t>
  </si>
  <si>
    <t>駒ヶ岳 小彼岸桜</t>
  </si>
  <si>
    <t>ネイチャーオブ信州シリーズ</t>
  </si>
  <si>
    <t>駒ヶ岳 信濃蒲公英</t>
  </si>
  <si>
    <t>駒ヶ岳 竜胆</t>
  </si>
  <si>
    <t>駒ヶ岳 27年</t>
  </si>
  <si>
    <t>駒ヶ岳 30年 アメリカンホワイトオーク</t>
  </si>
  <si>
    <t>駒ヶ岳 30年 シェリーカスク</t>
  </si>
  <si>
    <t>津貫 2022エディション</t>
  </si>
  <si>
    <t>津貫 2023エディション</t>
  </si>
  <si>
    <t>津貫 ファースト</t>
  </si>
  <si>
    <t>津貫 ピーテッド</t>
  </si>
  <si>
    <t>駒ヶ岳 ダブルカスク #1767 &amp; #1877</t>
  </si>
  <si>
    <t>for BAR BARNS &amp; ePower</t>
  </si>
  <si>
    <t>駒ヶ岳 ダブルカスク 2016 #3302 &amp; #3321</t>
  </si>
  <si>
    <t>越百</t>
  </si>
  <si>
    <t>越百 マンサニージャカスクフィニッシュ</t>
  </si>
  <si>
    <t>飯田</t>
  </si>
  <si>
    <t>for 飯田お練り祭り</t>
  </si>
  <si>
    <t>The Y.A. #01</t>
  </si>
  <si>
    <t>モルトデュオ 駒ヶ岳 × 秩父 2021</t>
  </si>
  <si>
    <t>マルスモルテージ ディスティラリーズオリジナル</t>
  </si>
  <si>
    <t>ツインアルプス</t>
  </si>
  <si>
    <t>岩井</t>
  </si>
  <si>
    <t>岩井 ワインカスクフィニッシュ</t>
  </si>
  <si>
    <t>HHAE</t>
  </si>
  <si>
    <t>KBP</t>
  </si>
  <si>
    <t>for 熊本地震復興支援</t>
  </si>
  <si>
    <t>ウィズワン</t>
  </si>
  <si>
    <t>moshi-moshi</t>
  </si>
  <si>
    <t>SHIKI</t>
  </si>
  <si>
    <t>長野県限定</t>
  </si>
  <si>
    <t>アンバー</t>
  </si>
  <si>
    <t>バーテンダーズチョイス ワインカスクフィニッシュ</t>
  </si>
  <si>
    <t>ラッキーキャット サン</t>
  </si>
  <si>
    <t>繋</t>
  </si>
  <si>
    <t>軽井沢倶楽部</t>
  </si>
  <si>
    <t>for タカギ酒店</t>
  </si>
  <si>
    <t>西郷どん</t>
  </si>
  <si>
    <t>for 明治維新150周年記念</t>
  </si>
  <si>
    <t>浅葱斑 8年</t>
  </si>
  <si>
    <t>for 蒸溜所リニューアル竣工記念</t>
  </si>
  <si>
    <t>アウトドアラバーズ</t>
  </si>
  <si>
    <t>ガイアフロー</t>
  </si>
  <si>
    <t>静岡</t>
  </si>
  <si>
    <t>#739</t>
  </si>
  <si>
    <t>ブラックアダー ロウカスク 静岡 4年</t>
  </si>
  <si>
    <t>for BAR BARNS20周年記念</t>
  </si>
  <si>
    <t>#2017-056</t>
  </si>
  <si>
    <t>静岡 BACK TO LIFE</t>
  </si>
  <si>
    <t>for Anytime Whisky</t>
  </si>
  <si>
    <t>#2017-063</t>
  </si>
  <si>
    <t>静岡 for Aichi Bar Friends</t>
  </si>
  <si>
    <t>#2017-110</t>
  </si>
  <si>
    <t>静岡 for bar ZOETROPE17周年記念</t>
  </si>
  <si>
    <t>#2017-183</t>
  </si>
  <si>
    <t>静岡 しげお樽</t>
  </si>
  <si>
    <t>for BAR Groovy23周年記念</t>
  </si>
  <si>
    <t>静岡 ユナイテッドS 初版</t>
  </si>
  <si>
    <t>静岡 ユナイテッドS</t>
  </si>
  <si>
    <t>静岡 ユナイテッドS 7年　2025年夏</t>
  </si>
  <si>
    <t>静岡 コンタクトS</t>
  </si>
  <si>
    <t>静岡 プロローグK</t>
  </si>
  <si>
    <t>静岡 プロローグW</t>
  </si>
  <si>
    <t>静岡 ポットスティルK 純外国産大麦 初版</t>
  </si>
  <si>
    <t>静岡 ポットスティルK 純日本大麦 初版</t>
  </si>
  <si>
    <t>静岡 ポットスティルW 純外国産大麦 初版</t>
  </si>
  <si>
    <t>静岡 ポットスティルW 純日本大麦 初版</t>
  </si>
  <si>
    <t>ブレンデッドM</t>
  </si>
  <si>
    <t>サクラオB&amp;D</t>
  </si>
  <si>
    <t>桜尾</t>
  </si>
  <si>
    <t>#5535</t>
  </si>
  <si>
    <t>桜尾 IPAカスク</t>
  </si>
  <si>
    <t>for WLN2024</t>
  </si>
  <si>
    <t>桜尾 1st.リリースカスクストレングス</t>
  </si>
  <si>
    <t>桜尾シェリーカスク スティルマンズセレクション</t>
  </si>
  <si>
    <t>桜尾 スパニッシュオーク スティルマンズセレクション</t>
  </si>
  <si>
    <t>戸河内</t>
  </si>
  <si>
    <t>戸河内 1st.リリースカスクストレングス</t>
  </si>
  <si>
    <t>ソガイニ</t>
  </si>
  <si>
    <t>中国醸造</t>
  </si>
  <si>
    <t>戸河内 ビアカスクフィニッシュ</t>
  </si>
  <si>
    <t>戸河内 サケカスクフィニッシュ</t>
  </si>
  <si>
    <t>戸河内 ブレンデッド</t>
  </si>
  <si>
    <t>金龍</t>
  </si>
  <si>
    <t>遊佐</t>
  </si>
  <si>
    <t>遊佐 2024</t>
  </si>
  <si>
    <t>遊佐 ファーストエディション 2022</t>
  </si>
  <si>
    <t>遊佐 セカンドエディション 2022</t>
  </si>
  <si>
    <t>堅展実業</t>
  </si>
  <si>
    <t>厚岸</t>
  </si>
  <si>
    <t>#607</t>
  </si>
  <si>
    <t>厚岸 5年 ヘビリーピーテッド</t>
  </si>
  <si>
    <t>for BAR fishborn</t>
  </si>
  <si>
    <t>厚岸 サロルンカムイ</t>
  </si>
  <si>
    <t>厚岸 #2 雨水</t>
  </si>
  <si>
    <t>二十四節季シリーズ</t>
  </si>
  <si>
    <t>厚岸 #4 処暑</t>
  </si>
  <si>
    <t>厚岸 #6 大寒</t>
  </si>
  <si>
    <t>厚岸 #7 清明</t>
  </si>
  <si>
    <t>厚岸 #8 大暑</t>
  </si>
  <si>
    <t>厚岸 #9 大雪</t>
  </si>
  <si>
    <t>厚岸 #10 啓蟄</t>
  </si>
  <si>
    <t>厚岸 #12 白露</t>
  </si>
  <si>
    <t>厚岸 #14 立春</t>
  </si>
  <si>
    <t>厚岸 #16 小暑</t>
  </si>
  <si>
    <t>厚岸 #19 立夏</t>
  </si>
  <si>
    <t>厚岸 #20 立秋</t>
  </si>
  <si>
    <t>若鶴</t>
  </si>
  <si>
    <t>三郎丸</t>
  </si>
  <si>
    <t>三郎丸 0</t>
  </si>
  <si>
    <t>三郎丸 1</t>
  </si>
  <si>
    <t>三郎丸 2</t>
  </si>
  <si>
    <t>サンシャインプレミアム</t>
  </si>
  <si>
    <t xml:space="preserve">サンシャインプレミアム ワインカスクフィニッシュ </t>
  </si>
  <si>
    <t>ムーングロウ 10年 1st.リリース</t>
  </si>
  <si>
    <t>小正嘉之助</t>
  </si>
  <si>
    <t>嘉之助</t>
  </si>
  <si>
    <t>#18129</t>
  </si>
  <si>
    <t>嘉之介</t>
  </si>
  <si>
    <t>#22023</t>
  </si>
  <si>
    <t>嘉之介 報恩謝徳</t>
  </si>
  <si>
    <t>for BAR GROOVY 25周年記念</t>
  </si>
  <si>
    <t>#19058</t>
  </si>
  <si>
    <t>for MMWM2022</t>
  </si>
  <si>
    <t>嘉之介 2021 ファーストエディション</t>
  </si>
  <si>
    <t>嘉之介 2021 セカンドエディション</t>
  </si>
  <si>
    <t>嘉之助 2022 リミテッドエディション</t>
  </si>
  <si>
    <t>江井ヶ嶋</t>
  </si>
  <si>
    <t>#1241</t>
  </si>
  <si>
    <t>あかし 3年 バーボンバレル</t>
  </si>
  <si>
    <t>#5158</t>
  </si>
  <si>
    <t>あかし 5年 シェリーバット</t>
  </si>
  <si>
    <t>小学館</t>
  </si>
  <si>
    <t>#61191</t>
  </si>
  <si>
    <t>あかし 6年</t>
  </si>
  <si>
    <t>for ビッグコミック50周年記念</t>
  </si>
  <si>
    <t>#5184</t>
  </si>
  <si>
    <t>あかし 8年 シェリーバット</t>
  </si>
  <si>
    <t>#118164</t>
  </si>
  <si>
    <t>あかし シェリーカスクPX 3年</t>
  </si>
  <si>
    <t>#101474</t>
  </si>
  <si>
    <t>ブラックアダー江井ヶ嶋 オロロソシェリーバット</t>
  </si>
  <si>
    <t>紅葉</t>
  </si>
  <si>
    <t>ガイアフローPB</t>
  </si>
  <si>
    <t>桐</t>
  </si>
  <si>
    <t>桜</t>
  </si>
  <si>
    <t>あかし</t>
  </si>
  <si>
    <t>あかし バーボンバレル 3年 ヘビリーピーテッド</t>
  </si>
  <si>
    <t>あかし 5年 オロロソカスクフィニッシュ</t>
  </si>
  <si>
    <t>魚住</t>
  </si>
  <si>
    <t>シーアンカー</t>
  </si>
  <si>
    <t>for 三菱食品</t>
  </si>
  <si>
    <t>シーフロント</t>
  </si>
  <si>
    <t>ブレンディッド江井ヶ嶋 シェリーカスクフィニッシュ</t>
  </si>
  <si>
    <t>あかし ダブルブレンダーズ モルトハーモニー</t>
  </si>
  <si>
    <t>あかしピュアモルト ダブルディスティラリーズ</t>
  </si>
  <si>
    <t>笹の川</t>
  </si>
  <si>
    <t>安積</t>
  </si>
  <si>
    <t>#19052</t>
  </si>
  <si>
    <t>安積 ザ・イチイ</t>
  </si>
  <si>
    <t>for (株)いちい</t>
  </si>
  <si>
    <t>安積 2022エディション</t>
  </si>
  <si>
    <t>安積 ザ・ファースト ピーテッド</t>
  </si>
  <si>
    <t>福島県南酒販</t>
  </si>
  <si>
    <t>963 ミズナラウッドフィニッシュ</t>
  </si>
  <si>
    <t>963 アクシス パロ・コルタド シェリーカスクフィニッシュ</t>
  </si>
  <si>
    <t>963 8年 ブレンデッドモルト</t>
  </si>
  <si>
    <t>963 17年 ミズナラウッドフィニッシュ</t>
  </si>
  <si>
    <t xml:space="preserve">963 21年 ファインブレンデッド </t>
  </si>
  <si>
    <t>山桜 ピュアモルト</t>
  </si>
  <si>
    <t>山桜 9年 カスクストレングス</t>
  </si>
  <si>
    <t>山桜 15年 カスクストレングス</t>
  </si>
  <si>
    <t>山桜 黒ラベル</t>
  </si>
  <si>
    <t>山桜プレミアム</t>
  </si>
  <si>
    <t>チェリーEX</t>
  </si>
  <si>
    <t>モンデ</t>
  </si>
  <si>
    <t>石和 10年</t>
  </si>
  <si>
    <t>篠崎</t>
  </si>
  <si>
    <t>エクスペリメンタル 01</t>
  </si>
  <si>
    <t>愛知酒精工業</t>
  </si>
  <si>
    <t>レインボーウイスキー</t>
  </si>
  <si>
    <t>相生ユニビオ</t>
  </si>
  <si>
    <t>レインボー三州 12年</t>
  </si>
  <si>
    <t>宮崎本店</t>
  </si>
  <si>
    <t>サンピース</t>
  </si>
  <si>
    <t>玉泉堂</t>
  </si>
  <si>
    <t>ピークウイスキー スペシャル</t>
  </si>
  <si>
    <t>三楽</t>
  </si>
  <si>
    <t>オーシャンウイスキー ホワイト</t>
  </si>
  <si>
    <t>三楽オーシャン</t>
  </si>
  <si>
    <t>オーシャン 12年</t>
  </si>
  <si>
    <t>オーシャンウイスキー オールド</t>
  </si>
  <si>
    <t>グロリア</t>
  </si>
  <si>
    <t>ホワイトシップ</t>
  </si>
  <si>
    <t>清州桜醸造</t>
  </si>
  <si>
    <t>清洲</t>
  </si>
  <si>
    <t>シングルグレーン清須</t>
  </si>
  <si>
    <t>キヨス</t>
  </si>
  <si>
    <t>長濱</t>
  </si>
  <si>
    <t>アマハガン for Anytime Whisky 2022</t>
  </si>
  <si>
    <t>東洋醸造</t>
  </si>
  <si>
    <t>JBA バイロン</t>
  </si>
  <si>
    <t>ジュピター ’80</t>
  </si>
  <si>
    <t>宝酒造</t>
  </si>
  <si>
    <t>ゴールドキング デラックス</t>
  </si>
  <si>
    <t>キングウイスキーエクストラ</t>
  </si>
  <si>
    <t>キングウイスキー</t>
  </si>
  <si>
    <t>木内酒造</t>
  </si>
  <si>
    <t>ビアスピリッツ</t>
  </si>
  <si>
    <t>Kiuchi no Shizuku</t>
  </si>
  <si>
    <t>リキュール</t>
  </si>
  <si>
    <t>木内の雫</t>
  </si>
  <si>
    <t>ヘリオス</t>
  </si>
  <si>
    <t>暦</t>
  </si>
  <si>
    <t>松井</t>
  </si>
  <si>
    <t>倉吉 18年</t>
  </si>
  <si>
    <t>倉吉 8年 シェリーカスク</t>
  </si>
  <si>
    <t>サン．フーズ</t>
  </si>
  <si>
    <t>ミレックス</t>
  </si>
  <si>
    <t>富士山</t>
  </si>
  <si>
    <t>Sc</t>
  </si>
  <si>
    <t>グレンフィディック 12年</t>
  </si>
  <si>
    <t>スキャパ スキレン</t>
  </si>
  <si>
    <t>ボウモア 12年</t>
  </si>
  <si>
    <t>マッカラン ゴールド</t>
  </si>
  <si>
    <t>マッカラン シエナ</t>
  </si>
  <si>
    <t>マッカラン 12年</t>
  </si>
  <si>
    <t>ラフロイグ 10年</t>
  </si>
  <si>
    <t>ラフロイグ ウォーターカスク</t>
  </si>
  <si>
    <t>バランタイン シングルモルト グレンバーギー 15年</t>
  </si>
  <si>
    <t>バランタイン シングルモルト ミルトンダフ 15年</t>
  </si>
  <si>
    <t>バランタイン シングルモルト グレントファーズ 15年</t>
  </si>
  <si>
    <t>シグナトリー</t>
  </si>
  <si>
    <t>#7204</t>
  </si>
  <si>
    <t>ノンチルフィルタードコレクション ダルユーイン19年</t>
  </si>
  <si>
    <t>MHD</t>
  </si>
  <si>
    <t>アードベッグ 10年</t>
  </si>
  <si>
    <t>アードベッグ コリーヴレッカン</t>
  </si>
  <si>
    <t>アードベッグ スコーチ</t>
  </si>
  <si>
    <t>カンパリ</t>
  </si>
  <si>
    <t>グレングラント アルボラリス</t>
  </si>
  <si>
    <t>アサヒビール</t>
  </si>
  <si>
    <t>グレンドロナック 18年</t>
  </si>
  <si>
    <t>グレンモーレンジィ 10年</t>
  </si>
  <si>
    <t>グレンモーレンジィ 10年 旧ボトル</t>
  </si>
  <si>
    <t>ペルノリカール</t>
  </si>
  <si>
    <t>グレンリヴェット 12年 ダブルオーク</t>
  </si>
  <si>
    <t>グレンリヴェット 12年 旧ボトル</t>
  </si>
  <si>
    <t>ホワイト＆マッカイ</t>
  </si>
  <si>
    <t>ダルモア グランレゼルヴァ</t>
  </si>
  <si>
    <t>ダルモア 12年 ブラックアイル</t>
  </si>
  <si>
    <t>G&amp;M</t>
  </si>
  <si>
    <t>マックファイルズコレクション グレンロセス 8年</t>
  </si>
  <si>
    <t>ラガヴーリン 16年</t>
  </si>
  <si>
    <t>ダンカンテイラー</t>
  </si>
  <si>
    <t>ビッグスモーク</t>
  </si>
  <si>
    <t>ダグラスレイン</t>
  </si>
  <si>
    <t>ビッグピート</t>
  </si>
  <si>
    <t>ビッグピート クリスマスエディション 2021</t>
  </si>
  <si>
    <t>ビッグピート 将棋エディション</t>
  </si>
  <si>
    <t>ベル シグネチャーブレンド</t>
  </si>
  <si>
    <t>バランタイン 10年</t>
  </si>
  <si>
    <t>バランタイン 12年</t>
  </si>
  <si>
    <t>バランタイン クリスマスエディション</t>
  </si>
  <si>
    <t>バランタイン 17年 スキャパエディション</t>
  </si>
  <si>
    <t>バランタイン 17年 ミルトンダフエディション</t>
  </si>
  <si>
    <t>バランタイン 17年 グレントファーズエディション</t>
  </si>
  <si>
    <t>シーバスリーガル 12年</t>
  </si>
  <si>
    <t>シーバスリーガル 12年 みずなら</t>
  </si>
  <si>
    <t>US</t>
  </si>
  <si>
    <t>バーボン</t>
  </si>
  <si>
    <t>フォアローゼス ブラック</t>
  </si>
  <si>
    <t>フォアローゼス プラチナ</t>
  </si>
  <si>
    <t>メーカーズマーク</t>
  </si>
  <si>
    <t>マコーミック</t>
  </si>
  <si>
    <t>コーン</t>
  </si>
  <si>
    <t>プラットヴァレー</t>
  </si>
  <si>
    <t>ジャックダニエル</t>
  </si>
  <si>
    <t>テネシー</t>
  </si>
  <si>
    <t>IWハーパー</t>
  </si>
  <si>
    <t>I.W.ハーパー 12年</t>
  </si>
  <si>
    <t>ジンビーム ディスティラリーズシリーズ 「フレッド・ノオ」 7年</t>
  </si>
  <si>
    <t>オースティンニコルス</t>
  </si>
  <si>
    <t>ワイルドターキー 8年</t>
  </si>
  <si>
    <t>ジムビーム</t>
  </si>
  <si>
    <t>ライ</t>
  </si>
  <si>
    <t>オールドオーバーホルト</t>
  </si>
  <si>
    <t>CA</t>
  </si>
  <si>
    <t>カナディアンクラブ</t>
  </si>
  <si>
    <t>カナディアンクラブ 12年</t>
  </si>
  <si>
    <t>マック・ギネス</t>
  </si>
  <si>
    <t>オールドカナダ</t>
  </si>
  <si>
    <t>IE</t>
  </si>
  <si>
    <t>ジェムソン</t>
  </si>
  <si>
    <t>ブッシュミルズ</t>
  </si>
  <si>
    <t>現行販売ボトル</t>
  </si>
  <si>
    <t>シングルカスクウイスキー</t>
  </si>
  <si>
    <t>ニッカウヰスキー</t>
  </si>
  <si>
    <t>キリン・キリンシーグラム</t>
  </si>
  <si>
    <t>ベンチャーウイスキー</t>
  </si>
  <si>
    <t>マルスウイスキー</t>
  </si>
  <si>
    <t>その他ジャパニーズウイスキー</t>
  </si>
  <si>
    <t>海外ウイスキー</t>
  </si>
  <si>
    <t>スペシャルウイスキー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</si>
</sst>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¥-411]#,##0"/>
    <numFmt numFmtId="165" formatCode="yyyy/m/d"/>
    <numFmt numFmtId="166" formatCode="yy/m/d"/>
    <numFmt numFmtId="167" formatCode="m&quot;月&quot;d&quot;日&quot;"/>
  </numFmts>
  <fonts count="12">
    <font>
      <sz val="11.0"/>
      <color theme="1"/>
      <name val="Calibri"/>
      <scheme val="minor"/>
    </font>
    <font>
      <sz val="12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color theme="1"/>
      <name val="Arial"/>
    </font>
    <font>
      <sz val="6.0"/>
      <color theme="1"/>
      <name val="Arial"/>
    </font>
    <font>
      <sz val="12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sz val="12.0"/>
      <color theme="1"/>
      <name val="Inherit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2" fontId="1" numFmtId="3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right" vertical="center"/>
    </xf>
    <xf borderId="0" fillId="2" fontId="4" numFmtId="164" xfId="0" applyAlignment="1" applyFont="1" applyNumberFormat="1">
      <alignment vertical="center"/>
    </xf>
    <xf borderId="0" fillId="2" fontId="1" numFmtId="165" xfId="0" applyAlignment="1" applyFont="1" applyNumberFormat="1">
      <alignment horizontal="right" vertical="center"/>
    </xf>
    <xf borderId="0" fillId="0" fontId="1" numFmtId="167" xfId="0" applyAlignment="1" applyFont="1" applyNumberFormat="1">
      <alignment vertical="center"/>
    </xf>
    <xf borderId="0" fillId="0" fontId="1" numFmtId="10" xfId="0" applyAlignment="1" applyFont="1" applyNumberFormat="1">
      <alignment horizontal="center" vertic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9" xfId="0" applyFont="1" applyNumberFormat="1"/>
    <xf borderId="0" fillId="0" fontId="7" numFmtId="164" xfId="0" applyFont="1" applyNumberFormat="1"/>
    <xf borderId="0" fillId="0" fontId="7" numFmtId="165" xfId="0" applyFont="1" applyNumberForma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9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0" fillId="0" fontId="11" numFmtId="9" xfId="0" applyFont="1" applyNumberFormat="1"/>
    <xf borderId="0" fillId="0" fontId="11" numFmtId="164" xfId="0" applyFont="1" applyNumberFormat="1"/>
    <xf borderId="0" fillId="0" fontId="11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>
    <tableStyle count="3" pivot="0" name="全ウイスキー-style">
      <tableStyleElement dxfId="1" type="headerRow"/>
      <tableStyleElement dxfId="2" type="firstRowStripe"/>
      <tableStyleElement dxfId="1" type="secondRowStripe"/>
    </tableStyle>
    <tableStyle count="3" pivot="0" name="現行販売-style">
      <tableStyleElement dxfId="1" type="headerRow"/>
      <tableStyleElement dxfId="2" type="firstRowStripe"/>
      <tableStyleElement dxfId="1" type="secondRowStripe"/>
    </tableStyle>
    <tableStyle count="3" pivot="0" name="シングルカスク-style">
      <tableStyleElement dxfId="1" type="headerRow"/>
      <tableStyleElement dxfId="2" type="firstRowStripe"/>
      <tableStyleElement dxfId="1" type="secondRowStripe"/>
    </tableStyle>
    <tableStyle count="3" pivot="0" name="シングルモルト-style">
      <tableStyleElement dxfId="1" type="headerRow"/>
      <tableStyleElement dxfId="2" type="firstRowStripe"/>
      <tableStyleElement dxfId="1" type="secondRowStripe"/>
    </tableStyle>
    <tableStyle count="3" pivot="0" name="サントリー-style">
      <tableStyleElement dxfId="1" type="headerRow"/>
      <tableStyleElement dxfId="2" type="firstRowStripe"/>
      <tableStyleElement dxfId="1" type="secondRowStripe"/>
    </tableStyle>
    <tableStyle count="3" pivot="0" name="ニッカ-style">
      <tableStyleElement dxfId="1" type="headerRow"/>
      <tableStyleElement dxfId="2" type="firstRowStripe"/>
      <tableStyleElement dxfId="1" type="secondRowStripe"/>
    </tableStyle>
    <tableStyle count="3" pivot="0" name="キリン-style">
      <tableStyleElement dxfId="1" type="headerRow"/>
      <tableStyleElement dxfId="2" type="firstRowStripe"/>
      <tableStyleElement dxfId="1" type="secondRowStripe"/>
    </tableStyle>
    <tableStyle count="3" pivot="0" name="ベンチャー-style">
      <tableStyleElement dxfId="1" type="headerRow"/>
      <tableStyleElement dxfId="2" type="firstRowStripe"/>
      <tableStyleElement dxfId="1" type="secondRowStripe"/>
    </tableStyle>
    <tableStyle count="3" pivot="0" name="マルス-style">
      <tableStyleElement dxfId="1" type="headerRow"/>
      <tableStyleElement dxfId="2" type="firstRowStripe"/>
      <tableStyleElement dxfId="1" type="secondRowStripe"/>
    </tableStyle>
    <tableStyle count="3" pivot="0" name="ガイアフロー-style">
      <tableStyleElement dxfId="1" type="headerRow"/>
      <tableStyleElement dxfId="2" type="firstRowStripe"/>
      <tableStyleElement dxfId="1" type="secondRowStripe"/>
    </tableStyle>
    <tableStyle count="3" pivot="0" name="サクラオB&amp;D-style">
      <tableStyleElement dxfId="1" type="headerRow"/>
      <tableStyleElement dxfId="2" type="firstRowStripe"/>
      <tableStyleElement dxfId="1" type="secondRowStripe"/>
    </tableStyle>
    <tableStyle count="3" pivot="0" name="堅展実業-style">
      <tableStyleElement dxfId="1" type="headerRow"/>
      <tableStyleElement dxfId="2" type="firstRowStripe"/>
      <tableStyleElement dxfId="1" type="secondRowStripe"/>
    </tableStyle>
    <tableStyle count="3" pivot="0" name="その他-style">
      <tableStyleElement dxfId="1" type="headerRow"/>
      <tableStyleElement dxfId="2" type="firstRowStripe"/>
      <tableStyleElement dxfId="1" type="secondRowStripe"/>
    </tableStyle>
    <tableStyle count="3" pivot="0" name="海外-style">
      <tableStyleElement dxfId="1" type="headerRow"/>
      <tableStyleElement dxfId="2" type="firstRowStripe"/>
      <tableStyleElement dxfId="1" type="secondRowStripe"/>
    </tableStyle>
    <tableStyle count="3" pivot="0" name="スペシャル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465" displayName="Table_1" name="Table_1" id="1">
  <tableColumns count="19">
    <tableColumn name="国" id="1"/>
    <tableColumn name="製造会社" id="2"/>
    <tableColumn name="販売会社" id="3"/>
    <tableColumn name="蒸溜所" id="4"/>
    <tableColumn name="タイプ" id="5"/>
    <tableColumn name="樽番号" id="6"/>
    <tableColumn name="商品名" id="7"/>
    <tableColumn name="備考" id="8"/>
    <tableColumn name="熟成地" id="9"/>
    <tableColumn name="樽種" id="10"/>
    <tableColumn name="熟成期間" id="11"/>
    <tableColumn name="現行" id="12"/>
    <tableColumn name="ピート感" id="13"/>
    <tableColumn name="度数" id="14"/>
    <tableColumn name="本数" id="15"/>
    <tableColumn name="30ml" id="16"/>
    <tableColumn name="15ml" id="17"/>
    <tableColumn name="10ml" id="18"/>
    <tableColumn name="ブログ" id="19"/>
  </tableColumns>
  <tableStyleInfo name="全ウイスキー-style" showColumnStripes="0" showFirstColumn="1" showLastColumn="1" showRowStripes="1"/>
</table>
</file>

<file path=xl/tables/table2.xml><?xml version="1.0" encoding="utf-8"?>
<table xmlns="http://schemas.openxmlformats.org/spreadsheetml/2006/main" headerRowCount="0" ref="A2:W308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現行販売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Z274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シングルカスク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Z359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シングルモル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V59" displayName="Table_5" name="Table_5" id="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サントリー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:U89" displayName="Table_6" name="Table_6" id="6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ニッカ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V233" displayName="Table_7" name="Table_7" id="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キリン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2:V244" displayName="Table_8" name="Table_8" id="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ベンチャー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:V285" displayName="Table_9" name="Table_9" id="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マルス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:V82" displayName="Table_10" name="Table_10" id="1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ガイアフロー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:V82" displayName="Table_11" name="Table_11" id="1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サクラオB&amp;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2:V82" displayName="Table_12" name="Table_12" id="1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堅展実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V275" displayName="Table_13" name="Table_13" id="1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その他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2:V56" displayName="Table_14" name="Table_14" id="1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海外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2:V221" displayName="Table_15" name="Table_15" id="1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スペシャル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14.57"/>
    <col customWidth="1" min="4" max="4" width="10.14"/>
    <col customWidth="1" min="5" max="5" width="21.14"/>
    <col customWidth="1" min="6" max="6" width="21.71"/>
    <col customWidth="1" min="7" max="7" width="75.29"/>
    <col customWidth="1" min="8" max="9" width="22.71"/>
    <col customWidth="1" min="10" max="10" width="24.43"/>
    <col customWidth="1" min="11" max="11" width="10.71"/>
    <col customWidth="1" min="12" max="12" width="4.86"/>
    <col customWidth="1" min="13" max="13" width="9.86"/>
    <col customWidth="1" min="14" max="14" width="8.71"/>
    <col customWidth="1" min="15" max="15" width="6.86"/>
    <col customWidth="1" min="16" max="18" width="8.0"/>
    <col customWidth="1" min="19" max="19" width="12.57"/>
  </cols>
  <sheetData>
    <row r="1" ht="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ht="9.0" customHeight="1">
      <c r="A2" s="4" t="s">
        <v>19</v>
      </c>
      <c r="B2" s="4" t="s">
        <v>20</v>
      </c>
      <c r="C2" s="4" t="s">
        <v>20</v>
      </c>
      <c r="D2" s="1" t="s">
        <v>21</v>
      </c>
      <c r="E2" s="4" t="s">
        <v>22</v>
      </c>
      <c r="F2" s="1"/>
      <c r="G2" s="4" t="s">
        <v>21</v>
      </c>
      <c r="H2" s="5"/>
      <c r="I2" s="5"/>
      <c r="J2" s="6"/>
      <c r="K2" s="6"/>
      <c r="L2" s="7" t="s">
        <v>23</v>
      </c>
      <c r="M2" s="1"/>
      <c r="N2" s="8">
        <v>0.43</v>
      </c>
      <c r="O2" s="1"/>
      <c r="P2" s="9">
        <v>1300.0</v>
      </c>
      <c r="Q2" s="9">
        <v>750.0</v>
      </c>
      <c r="R2" s="10"/>
      <c r="S2" s="11">
        <v>45066.0</v>
      </c>
    </row>
    <row r="3" ht="9.0" customHeight="1">
      <c r="A3" s="4" t="s">
        <v>19</v>
      </c>
      <c r="B3" s="4" t="s">
        <v>20</v>
      </c>
      <c r="C3" s="4" t="s">
        <v>20</v>
      </c>
      <c r="D3" s="1" t="s">
        <v>21</v>
      </c>
      <c r="E3" s="4" t="s">
        <v>22</v>
      </c>
      <c r="F3" s="1"/>
      <c r="G3" s="4" t="s">
        <v>24</v>
      </c>
      <c r="H3" s="5"/>
      <c r="I3" s="5"/>
      <c r="J3" s="6"/>
      <c r="K3" s="6"/>
      <c r="L3" s="7"/>
      <c r="M3" s="1"/>
      <c r="N3" s="8">
        <v>0.4</v>
      </c>
      <c r="O3" s="1"/>
      <c r="P3" s="9">
        <v>2200.0</v>
      </c>
      <c r="Q3" s="9">
        <v>1200.0</v>
      </c>
      <c r="R3" s="10"/>
      <c r="S3" s="11">
        <v>45071.0</v>
      </c>
    </row>
    <row r="4" ht="9.0" customHeight="1">
      <c r="A4" s="4" t="s">
        <v>19</v>
      </c>
      <c r="B4" s="4" t="s">
        <v>20</v>
      </c>
      <c r="C4" s="4" t="s">
        <v>20</v>
      </c>
      <c r="D4" s="1" t="s">
        <v>21</v>
      </c>
      <c r="E4" s="4" t="s">
        <v>22</v>
      </c>
      <c r="F4" s="1"/>
      <c r="G4" s="4" t="s">
        <v>25</v>
      </c>
      <c r="H4" s="5"/>
      <c r="I4" s="5"/>
      <c r="J4" s="6"/>
      <c r="K4" s="6"/>
      <c r="L4" s="7" t="s">
        <v>23</v>
      </c>
      <c r="M4" s="1"/>
      <c r="N4" s="8">
        <v>0.43</v>
      </c>
      <c r="O4" s="1"/>
      <c r="P4" s="9">
        <v>2600.0</v>
      </c>
      <c r="Q4" s="9">
        <v>1400.0</v>
      </c>
      <c r="R4" s="10"/>
      <c r="S4" s="11">
        <v>45067.0</v>
      </c>
    </row>
    <row r="5" ht="9.0" customHeight="1">
      <c r="A5" s="4" t="s">
        <v>19</v>
      </c>
      <c r="B5" s="4" t="s">
        <v>20</v>
      </c>
      <c r="C5" s="4" t="s">
        <v>20</v>
      </c>
      <c r="D5" s="1" t="s">
        <v>21</v>
      </c>
      <c r="E5" s="4" t="s">
        <v>22</v>
      </c>
      <c r="F5" s="1"/>
      <c r="G5" s="4" t="s">
        <v>26</v>
      </c>
      <c r="H5" s="5"/>
      <c r="I5" s="5"/>
      <c r="J5" s="6"/>
      <c r="K5" s="6"/>
      <c r="L5" s="7" t="s">
        <v>23</v>
      </c>
      <c r="M5" s="1"/>
      <c r="N5" s="8">
        <v>0.43</v>
      </c>
      <c r="O5" s="1"/>
      <c r="P5" s="9"/>
      <c r="Q5" s="9"/>
      <c r="R5" s="10">
        <v>2200.0</v>
      </c>
      <c r="S5" s="11">
        <v>45069.0</v>
      </c>
    </row>
    <row r="6" ht="9.0" customHeight="1">
      <c r="A6" s="4" t="s">
        <v>19</v>
      </c>
      <c r="B6" s="4" t="s">
        <v>20</v>
      </c>
      <c r="C6" s="4" t="s">
        <v>20</v>
      </c>
      <c r="D6" s="1" t="s">
        <v>21</v>
      </c>
      <c r="E6" s="4" t="s">
        <v>22</v>
      </c>
      <c r="F6" s="1"/>
      <c r="G6" s="4" t="s">
        <v>27</v>
      </c>
      <c r="H6" s="5"/>
      <c r="I6" s="5"/>
      <c r="J6" s="6"/>
      <c r="K6" s="6"/>
      <c r="L6" s="7"/>
      <c r="M6" s="1"/>
      <c r="N6" s="8">
        <v>0.43</v>
      </c>
      <c r="O6" s="1"/>
      <c r="P6" s="9">
        <v>3500.0</v>
      </c>
      <c r="Q6" s="9">
        <v>1900.0</v>
      </c>
      <c r="R6" s="10"/>
      <c r="S6" s="11">
        <v>45314.0</v>
      </c>
    </row>
    <row r="7" ht="9.0" customHeight="1">
      <c r="A7" s="4" t="s">
        <v>19</v>
      </c>
      <c r="B7" s="4" t="s">
        <v>20</v>
      </c>
      <c r="C7" s="4" t="s">
        <v>20</v>
      </c>
      <c r="D7" s="1" t="s">
        <v>21</v>
      </c>
      <c r="E7" s="4" t="s">
        <v>22</v>
      </c>
      <c r="F7" s="1"/>
      <c r="G7" s="4" t="s">
        <v>28</v>
      </c>
      <c r="H7" s="5"/>
      <c r="I7" s="5"/>
      <c r="J7" s="6"/>
      <c r="K7" s="6"/>
      <c r="L7" s="7"/>
      <c r="M7" s="1"/>
      <c r="N7" s="8">
        <v>0.43</v>
      </c>
      <c r="O7" s="1"/>
      <c r="P7" s="9">
        <v>3500.0</v>
      </c>
      <c r="Q7" s="9">
        <v>1900.0</v>
      </c>
      <c r="R7" s="10"/>
      <c r="S7" s="11">
        <v>45074.0</v>
      </c>
    </row>
    <row r="8" ht="9.0" customHeight="1">
      <c r="A8" s="4" t="s">
        <v>19</v>
      </c>
      <c r="B8" s="4" t="s">
        <v>20</v>
      </c>
      <c r="C8" s="4" t="s">
        <v>20</v>
      </c>
      <c r="D8" s="1" t="s">
        <v>21</v>
      </c>
      <c r="E8" s="4" t="s">
        <v>22</v>
      </c>
      <c r="F8" s="1"/>
      <c r="G8" s="4" t="s">
        <v>29</v>
      </c>
      <c r="H8" s="5" t="s">
        <v>30</v>
      </c>
      <c r="I8" s="5"/>
      <c r="J8" s="6"/>
      <c r="K8" s="6"/>
      <c r="L8" s="7"/>
      <c r="M8" s="1"/>
      <c r="N8" s="8">
        <v>0.4</v>
      </c>
      <c r="O8" s="1"/>
      <c r="P8" s="9">
        <v>1500.0</v>
      </c>
      <c r="Q8" s="9">
        <v>850.0</v>
      </c>
      <c r="R8" s="10"/>
      <c r="S8" s="4"/>
    </row>
    <row r="9" ht="9.0" customHeight="1">
      <c r="A9" s="4" t="s">
        <v>19</v>
      </c>
      <c r="B9" s="4" t="s">
        <v>20</v>
      </c>
      <c r="C9" s="4" t="s">
        <v>20</v>
      </c>
      <c r="D9" s="1" t="s">
        <v>21</v>
      </c>
      <c r="E9" s="4" t="s">
        <v>22</v>
      </c>
      <c r="F9" s="1"/>
      <c r="G9" s="4" t="s">
        <v>31</v>
      </c>
      <c r="H9" s="12" t="s">
        <v>32</v>
      </c>
      <c r="I9" s="12"/>
      <c r="J9" s="6"/>
      <c r="K9" s="6"/>
      <c r="L9" s="6"/>
      <c r="M9" s="1"/>
      <c r="N9" s="8">
        <v>0.49</v>
      </c>
      <c r="O9" s="1"/>
      <c r="P9" s="9">
        <v>3500.0</v>
      </c>
      <c r="Q9" s="9">
        <v>1900.0</v>
      </c>
      <c r="R9" s="10"/>
      <c r="S9" s="11">
        <v>45084.0</v>
      </c>
    </row>
    <row r="10" ht="9.0" customHeight="1">
      <c r="A10" s="4" t="s">
        <v>19</v>
      </c>
      <c r="B10" s="4" t="s">
        <v>20</v>
      </c>
      <c r="C10" s="4" t="s">
        <v>20</v>
      </c>
      <c r="D10" s="1" t="s">
        <v>21</v>
      </c>
      <c r="E10" s="4" t="s">
        <v>22</v>
      </c>
      <c r="F10" s="1"/>
      <c r="G10" s="4" t="s">
        <v>33</v>
      </c>
      <c r="H10" s="12" t="s">
        <v>34</v>
      </c>
      <c r="I10" s="12"/>
      <c r="J10" s="6"/>
      <c r="K10" s="6"/>
      <c r="L10" s="6"/>
      <c r="M10" s="1"/>
      <c r="N10" s="8">
        <v>0.48</v>
      </c>
      <c r="O10" s="1">
        <v>3000.0</v>
      </c>
      <c r="P10" s="9">
        <v>2800.0</v>
      </c>
      <c r="Q10" s="9">
        <v>1500.0</v>
      </c>
      <c r="R10" s="10"/>
      <c r="S10" s="4"/>
    </row>
    <row r="11" ht="9.0" customHeight="1">
      <c r="A11" s="4" t="s">
        <v>19</v>
      </c>
      <c r="B11" s="4" t="s">
        <v>20</v>
      </c>
      <c r="C11" s="4" t="s">
        <v>20</v>
      </c>
      <c r="D11" s="1" t="s">
        <v>35</v>
      </c>
      <c r="E11" s="4" t="s">
        <v>22</v>
      </c>
      <c r="F11" s="1"/>
      <c r="G11" s="4" t="s">
        <v>35</v>
      </c>
      <c r="H11" s="5"/>
      <c r="I11" s="5"/>
      <c r="J11" s="6"/>
      <c r="K11" s="6"/>
      <c r="L11" s="7" t="s">
        <v>23</v>
      </c>
      <c r="M11" s="1"/>
      <c r="N11" s="8">
        <v>0.43</v>
      </c>
      <c r="O11" s="1"/>
      <c r="P11" s="9">
        <v>1300.0</v>
      </c>
      <c r="Q11" s="9">
        <v>700.0</v>
      </c>
      <c r="R11" s="10"/>
      <c r="S11" s="11">
        <v>45076.0</v>
      </c>
    </row>
    <row r="12" ht="9.0" customHeight="1">
      <c r="A12" s="4" t="s">
        <v>19</v>
      </c>
      <c r="B12" s="4" t="s">
        <v>20</v>
      </c>
      <c r="C12" s="4" t="s">
        <v>20</v>
      </c>
      <c r="D12" s="1" t="s">
        <v>35</v>
      </c>
      <c r="E12" s="4" t="s">
        <v>22</v>
      </c>
      <c r="F12" s="1"/>
      <c r="G12" s="4" t="s">
        <v>36</v>
      </c>
      <c r="H12" s="5"/>
      <c r="I12" s="5"/>
      <c r="J12" s="6"/>
      <c r="K12" s="6"/>
      <c r="L12" s="7" t="s">
        <v>23</v>
      </c>
      <c r="M12" s="1"/>
      <c r="N12" s="8">
        <v>0.43</v>
      </c>
      <c r="O12" s="1"/>
      <c r="P12" s="9">
        <v>2600.0</v>
      </c>
      <c r="Q12" s="9">
        <v>1400.0</v>
      </c>
      <c r="R12" s="10"/>
      <c r="S12" s="11">
        <v>45078.0</v>
      </c>
    </row>
    <row r="13" ht="9.0" customHeight="1">
      <c r="A13" s="4" t="s">
        <v>19</v>
      </c>
      <c r="B13" s="4" t="s">
        <v>20</v>
      </c>
      <c r="C13" s="4" t="s">
        <v>20</v>
      </c>
      <c r="D13" s="1" t="s">
        <v>35</v>
      </c>
      <c r="E13" s="4" t="s">
        <v>22</v>
      </c>
      <c r="F13" s="1"/>
      <c r="G13" s="4" t="s">
        <v>37</v>
      </c>
      <c r="H13" s="5"/>
      <c r="I13" s="5"/>
      <c r="J13" s="6"/>
      <c r="K13" s="6"/>
      <c r="L13" s="7" t="s">
        <v>23</v>
      </c>
      <c r="M13" s="1"/>
      <c r="N13" s="8">
        <v>0.43</v>
      </c>
      <c r="O13" s="1"/>
      <c r="P13" s="9"/>
      <c r="Q13" s="9"/>
      <c r="R13" s="10">
        <v>2200.0</v>
      </c>
      <c r="S13" s="11">
        <v>45080.0</v>
      </c>
    </row>
    <row r="14" ht="9.0" customHeight="1">
      <c r="A14" s="4" t="s">
        <v>19</v>
      </c>
      <c r="B14" s="4" t="s">
        <v>20</v>
      </c>
      <c r="C14" s="4" t="s">
        <v>20</v>
      </c>
      <c r="D14" s="1"/>
      <c r="E14" s="5" t="s">
        <v>38</v>
      </c>
      <c r="F14" s="1"/>
      <c r="G14" s="4" t="s">
        <v>39</v>
      </c>
      <c r="H14" s="5"/>
      <c r="I14" s="5"/>
      <c r="J14" s="6"/>
      <c r="K14" s="6"/>
      <c r="L14" s="7"/>
      <c r="M14" s="1"/>
      <c r="N14" s="8">
        <v>0.4</v>
      </c>
      <c r="O14" s="1"/>
      <c r="P14" s="9">
        <v>2000.0</v>
      </c>
      <c r="Q14" s="9">
        <v>1100.0</v>
      </c>
      <c r="R14" s="10"/>
      <c r="S14" s="4"/>
    </row>
    <row r="15" ht="9.0" customHeight="1">
      <c r="A15" s="4" t="s">
        <v>19</v>
      </c>
      <c r="B15" s="4" t="s">
        <v>20</v>
      </c>
      <c r="C15" s="4" t="s">
        <v>20</v>
      </c>
      <c r="D15" s="1" t="s">
        <v>40</v>
      </c>
      <c r="E15" s="5" t="s">
        <v>41</v>
      </c>
      <c r="F15" s="1"/>
      <c r="G15" s="4" t="s">
        <v>40</v>
      </c>
      <c r="H15" s="5"/>
      <c r="I15" s="5"/>
      <c r="J15" s="6"/>
      <c r="K15" s="6"/>
      <c r="L15" s="7" t="s">
        <v>23</v>
      </c>
      <c r="M15" s="1"/>
      <c r="N15" s="8">
        <v>0.43</v>
      </c>
      <c r="O15" s="1"/>
      <c r="P15" s="9">
        <v>1200.0</v>
      </c>
      <c r="Q15" s="9">
        <v>700.0</v>
      </c>
      <c r="R15" s="10"/>
      <c r="S15" s="11">
        <v>45083.0</v>
      </c>
    </row>
    <row r="16" ht="9.0" customHeight="1">
      <c r="A16" s="4" t="s">
        <v>19</v>
      </c>
      <c r="B16" s="4" t="s">
        <v>20</v>
      </c>
      <c r="C16" s="4" t="s">
        <v>20</v>
      </c>
      <c r="D16" s="1" t="s">
        <v>40</v>
      </c>
      <c r="E16" s="5" t="s">
        <v>41</v>
      </c>
      <c r="F16" s="1"/>
      <c r="G16" s="4" t="s">
        <v>42</v>
      </c>
      <c r="H16" s="5"/>
      <c r="I16" s="5"/>
      <c r="J16" s="6"/>
      <c r="K16" s="6"/>
      <c r="L16" s="7"/>
      <c r="M16" s="1"/>
      <c r="N16" s="8">
        <v>0.43</v>
      </c>
      <c r="O16" s="1"/>
      <c r="P16" s="9">
        <v>2600.0</v>
      </c>
      <c r="Q16" s="9">
        <v>1400.0</v>
      </c>
      <c r="R16" s="10"/>
      <c r="S16" s="11">
        <v>44875.0</v>
      </c>
    </row>
    <row r="17" ht="9.0" customHeight="1">
      <c r="A17" s="4" t="s">
        <v>19</v>
      </c>
      <c r="B17" s="4" t="s">
        <v>20</v>
      </c>
      <c r="C17" s="4" t="s">
        <v>20</v>
      </c>
      <c r="D17" s="1" t="s">
        <v>35</v>
      </c>
      <c r="E17" s="5" t="s">
        <v>41</v>
      </c>
      <c r="F17" s="1"/>
      <c r="G17" s="4" t="s">
        <v>43</v>
      </c>
      <c r="H17" s="12" t="s">
        <v>32</v>
      </c>
      <c r="I17" s="12"/>
      <c r="J17" s="6"/>
      <c r="K17" s="6"/>
      <c r="L17" s="6"/>
      <c r="M17" s="1"/>
      <c r="N17" s="8">
        <v>0.57</v>
      </c>
      <c r="O17" s="1"/>
      <c r="P17" s="9">
        <v>2400.0</v>
      </c>
      <c r="Q17" s="9">
        <v>1300.0</v>
      </c>
      <c r="R17" s="10"/>
      <c r="S17" s="11">
        <v>45104.0</v>
      </c>
    </row>
    <row r="18" ht="9.0" customHeight="1">
      <c r="A18" s="4" t="s">
        <v>19</v>
      </c>
      <c r="B18" s="4" t="s">
        <v>20</v>
      </c>
      <c r="C18" s="4" t="s">
        <v>20</v>
      </c>
      <c r="D18" s="1"/>
      <c r="E18" s="4" t="s">
        <v>44</v>
      </c>
      <c r="F18" s="1"/>
      <c r="G18" s="4" t="s">
        <v>45</v>
      </c>
      <c r="H18" s="5"/>
      <c r="I18" s="5"/>
      <c r="J18" s="6"/>
      <c r="K18" s="6"/>
      <c r="L18" s="7" t="s">
        <v>23</v>
      </c>
      <c r="M18" s="1"/>
      <c r="N18" s="8">
        <v>0.43</v>
      </c>
      <c r="O18" s="1"/>
      <c r="P18" s="9">
        <v>1400.0</v>
      </c>
      <c r="Q18" s="9">
        <v>800.0</v>
      </c>
      <c r="R18" s="10"/>
      <c r="S18" s="11">
        <v>45116.0</v>
      </c>
    </row>
    <row r="19" ht="9.0" customHeight="1">
      <c r="A19" s="4" t="s">
        <v>19</v>
      </c>
      <c r="B19" s="4" t="s">
        <v>20</v>
      </c>
      <c r="C19" s="4" t="s">
        <v>20</v>
      </c>
      <c r="D19" s="1"/>
      <c r="E19" s="4" t="s">
        <v>44</v>
      </c>
      <c r="F19" s="1"/>
      <c r="G19" s="4" t="s">
        <v>46</v>
      </c>
      <c r="H19" s="5"/>
      <c r="I19" s="5"/>
      <c r="J19" s="6"/>
      <c r="K19" s="6"/>
      <c r="L19" s="7" t="s">
        <v>23</v>
      </c>
      <c r="M19" s="1"/>
      <c r="N19" s="8">
        <v>0.43</v>
      </c>
      <c r="O19" s="1"/>
      <c r="P19" s="9">
        <v>2600.0</v>
      </c>
      <c r="Q19" s="9">
        <v>1400.0</v>
      </c>
      <c r="R19" s="10"/>
      <c r="S19" s="11">
        <v>45128.0</v>
      </c>
    </row>
    <row r="20" ht="9.0" customHeight="1">
      <c r="A20" s="4" t="s">
        <v>19</v>
      </c>
      <c r="B20" s="4" t="s">
        <v>20</v>
      </c>
      <c r="C20" s="4" t="s">
        <v>20</v>
      </c>
      <c r="D20" s="1"/>
      <c r="E20" s="4" t="s">
        <v>44</v>
      </c>
      <c r="F20" s="1"/>
      <c r="G20" s="4" t="s">
        <v>47</v>
      </c>
      <c r="H20" s="5" t="s">
        <v>48</v>
      </c>
      <c r="I20" s="5"/>
      <c r="J20" s="6"/>
      <c r="K20" s="6"/>
      <c r="L20" s="7" t="s">
        <v>23</v>
      </c>
      <c r="M20" s="1"/>
      <c r="N20" s="8">
        <v>0.43</v>
      </c>
      <c r="O20" s="1"/>
      <c r="P20" s="9">
        <v>3000.0</v>
      </c>
      <c r="Q20" s="9">
        <v>1600.0</v>
      </c>
      <c r="R20" s="10"/>
      <c r="S20" s="11">
        <v>45131.0</v>
      </c>
    </row>
    <row r="21" ht="9.0" customHeight="1">
      <c r="A21" s="4" t="s">
        <v>19</v>
      </c>
      <c r="B21" s="4" t="s">
        <v>20</v>
      </c>
      <c r="C21" s="4" t="s">
        <v>20</v>
      </c>
      <c r="D21" s="1"/>
      <c r="E21" s="4" t="s">
        <v>44</v>
      </c>
      <c r="F21" s="1"/>
      <c r="G21" s="4" t="s">
        <v>49</v>
      </c>
      <c r="H21" s="5"/>
      <c r="I21" s="5"/>
      <c r="J21" s="6"/>
      <c r="K21" s="6"/>
      <c r="L21" s="7"/>
      <c r="M21" s="1"/>
      <c r="N21" s="8">
        <v>0.43</v>
      </c>
      <c r="O21" s="1"/>
      <c r="P21" s="9">
        <v>3500.0</v>
      </c>
      <c r="Q21" s="9">
        <v>1900.0</v>
      </c>
      <c r="R21" s="10"/>
      <c r="S21" s="4"/>
    </row>
    <row r="22" ht="9.0" customHeight="1">
      <c r="A22" s="4" t="s">
        <v>19</v>
      </c>
      <c r="B22" s="4" t="s">
        <v>20</v>
      </c>
      <c r="C22" s="4" t="s">
        <v>20</v>
      </c>
      <c r="D22" s="1"/>
      <c r="E22" s="4" t="s">
        <v>44</v>
      </c>
      <c r="F22" s="1"/>
      <c r="G22" s="4" t="s">
        <v>50</v>
      </c>
      <c r="H22" s="5"/>
      <c r="I22" s="5"/>
      <c r="J22" s="6"/>
      <c r="K22" s="6"/>
      <c r="L22" s="7"/>
      <c r="M22" s="1"/>
      <c r="N22" s="8">
        <v>0.43</v>
      </c>
      <c r="O22" s="1"/>
      <c r="P22" s="9">
        <v>5000.0</v>
      </c>
      <c r="Q22" s="9">
        <v>2800.0</v>
      </c>
      <c r="R22" s="10"/>
      <c r="S22" s="11">
        <v>45130.0</v>
      </c>
    </row>
    <row r="23" ht="9.0" customHeight="1">
      <c r="A23" s="4" t="s">
        <v>19</v>
      </c>
      <c r="B23" s="4" t="s">
        <v>20</v>
      </c>
      <c r="C23" s="4" t="s">
        <v>20</v>
      </c>
      <c r="D23" s="1"/>
      <c r="E23" s="4" t="s">
        <v>44</v>
      </c>
      <c r="F23" s="1"/>
      <c r="G23" s="4" t="s">
        <v>51</v>
      </c>
      <c r="H23" s="5"/>
      <c r="I23" s="5"/>
      <c r="J23" s="6"/>
      <c r="K23" s="6"/>
      <c r="L23" s="7" t="s">
        <v>23</v>
      </c>
      <c r="M23" s="1"/>
      <c r="N23" s="8">
        <v>0.43</v>
      </c>
      <c r="O23" s="1"/>
      <c r="P23" s="9"/>
      <c r="Q23" s="9"/>
      <c r="R23" s="10">
        <v>2200.0</v>
      </c>
      <c r="S23" s="11">
        <v>45129.0</v>
      </c>
    </row>
    <row r="24" ht="9.0" customHeight="1">
      <c r="A24" s="4" t="s">
        <v>19</v>
      </c>
      <c r="B24" s="4" t="s">
        <v>20</v>
      </c>
      <c r="C24" s="4" t="s">
        <v>20</v>
      </c>
      <c r="D24" s="1"/>
      <c r="E24" s="4" t="s">
        <v>44</v>
      </c>
      <c r="F24" s="1"/>
      <c r="G24" s="4" t="s">
        <v>52</v>
      </c>
      <c r="H24" s="5"/>
      <c r="I24" s="5"/>
      <c r="J24" s="6"/>
      <c r="K24" s="6"/>
      <c r="L24" s="7" t="s">
        <v>23</v>
      </c>
      <c r="M24" s="1"/>
      <c r="N24" s="8">
        <v>0.43</v>
      </c>
      <c r="O24" s="1"/>
      <c r="P24" s="9">
        <v>1100.0</v>
      </c>
      <c r="Q24" s="9">
        <v>650.0</v>
      </c>
      <c r="R24" s="10"/>
      <c r="S24" s="11">
        <v>45423.0</v>
      </c>
    </row>
    <row r="25" ht="9.0" customHeight="1">
      <c r="A25" s="4" t="s">
        <v>19</v>
      </c>
      <c r="B25" s="4" t="s">
        <v>20</v>
      </c>
      <c r="C25" s="4" t="s">
        <v>20</v>
      </c>
      <c r="D25" s="1"/>
      <c r="E25" s="4" t="s">
        <v>44</v>
      </c>
      <c r="F25" s="1"/>
      <c r="G25" s="4" t="s">
        <v>53</v>
      </c>
      <c r="H25" s="5"/>
      <c r="I25" s="5"/>
      <c r="J25" s="6"/>
      <c r="K25" s="6"/>
      <c r="L25" s="7"/>
      <c r="M25" s="1"/>
      <c r="N25" s="8">
        <v>0.43</v>
      </c>
      <c r="O25" s="1"/>
      <c r="P25" s="9">
        <v>1200.0</v>
      </c>
      <c r="Q25" s="9">
        <v>700.0</v>
      </c>
      <c r="R25" s="10"/>
      <c r="S25" s="11">
        <v>45425.0</v>
      </c>
    </row>
    <row r="26" ht="9.0" customHeight="1">
      <c r="A26" s="4" t="s">
        <v>19</v>
      </c>
      <c r="B26" s="4" t="s">
        <v>20</v>
      </c>
      <c r="C26" s="4" t="s">
        <v>20</v>
      </c>
      <c r="D26" s="1"/>
      <c r="E26" s="4" t="s">
        <v>44</v>
      </c>
      <c r="F26" s="1"/>
      <c r="G26" s="4" t="s">
        <v>54</v>
      </c>
      <c r="H26" s="5"/>
      <c r="I26" s="5"/>
      <c r="J26" s="6"/>
      <c r="K26" s="6"/>
      <c r="L26" s="7" t="s">
        <v>23</v>
      </c>
      <c r="M26" s="1"/>
      <c r="N26" s="8">
        <v>0.4</v>
      </c>
      <c r="O26" s="1"/>
      <c r="P26" s="9">
        <v>900.0</v>
      </c>
      <c r="Q26" s="9">
        <v>550.0</v>
      </c>
      <c r="R26" s="10"/>
      <c r="S26" s="11">
        <v>45367.0</v>
      </c>
    </row>
    <row r="27" ht="9.0" customHeight="1">
      <c r="A27" s="4" t="s">
        <v>19</v>
      </c>
      <c r="B27" s="4" t="s">
        <v>20</v>
      </c>
      <c r="C27" s="4" t="s">
        <v>20</v>
      </c>
      <c r="D27" s="1"/>
      <c r="E27" s="4" t="s">
        <v>44</v>
      </c>
      <c r="F27" s="1"/>
      <c r="G27" s="4" t="s">
        <v>55</v>
      </c>
      <c r="H27" s="5"/>
      <c r="I27" s="5"/>
      <c r="J27" s="6"/>
      <c r="K27" s="6"/>
      <c r="L27" s="7"/>
      <c r="M27" s="1"/>
      <c r="N27" s="8">
        <v>0.43</v>
      </c>
      <c r="O27" s="1"/>
      <c r="P27" s="9">
        <v>1300.0</v>
      </c>
      <c r="Q27" s="9">
        <v>750.0</v>
      </c>
      <c r="R27" s="10"/>
      <c r="S27" s="13">
        <v>45374.0</v>
      </c>
    </row>
    <row r="28" ht="9.0" customHeight="1">
      <c r="A28" s="4" t="s">
        <v>19</v>
      </c>
      <c r="B28" s="4" t="s">
        <v>20</v>
      </c>
      <c r="C28" s="4" t="s">
        <v>20</v>
      </c>
      <c r="D28" s="1"/>
      <c r="E28" s="4" t="s">
        <v>44</v>
      </c>
      <c r="F28" s="1"/>
      <c r="G28" s="4" t="s">
        <v>56</v>
      </c>
      <c r="H28" s="5"/>
      <c r="I28" s="5"/>
      <c r="J28" s="6"/>
      <c r="K28" s="6"/>
      <c r="L28" s="7"/>
      <c r="M28" s="1"/>
      <c r="N28" s="8">
        <v>0.4</v>
      </c>
      <c r="O28" s="1"/>
      <c r="P28" s="9">
        <v>1100.0</v>
      </c>
      <c r="Q28" s="9">
        <v>650.0</v>
      </c>
      <c r="R28" s="10"/>
      <c r="S28" s="11">
        <v>45206.0</v>
      </c>
    </row>
    <row r="29" ht="9.0" customHeight="1">
      <c r="A29" s="4" t="s">
        <v>19</v>
      </c>
      <c r="B29" s="4" t="s">
        <v>20</v>
      </c>
      <c r="C29" s="4" t="s">
        <v>20</v>
      </c>
      <c r="D29" s="1"/>
      <c r="E29" s="4" t="s">
        <v>44</v>
      </c>
      <c r="F29" s="1"/>
      <c r="G29" s="4" t="s">
        <v>57</v>
      </c>
      <c r="H29" s="5"/>
      <c r="I29" s="5"/>
      <c r="J29" s="6"/>
      <c r="K29" s="6"/>
      <c r="L29" s="7"/>
      <c r="M29" s="1"/>
      <c r="N29" s="8">
        <v>0.4</v>
      </c>
      <c r="O29" s="1"/>
      <c r="P29" s="9">
        <v>1300.0</v>
      </c>
      <c r="Q29" s="9">
        <v>750.0</v>
      </c>
      <c r="R29" s="10"/>
      <c r="S29" s="11">
        <v>45372.0</v>
      </c>
    </row>
    <row r="30" ht="9.0" customHeight="1">
      <c r="A30" s="4" t="s">
        <v>19</v>
      </c>
      <c r="B30" s="4" t="s">
        <v>20</v>
      </c>
      <c r="C30" s="4" t="s">
        <v>20</v>
      </c>
      <c r="D30" s="1"/>
      <c r="E30" s="4" t="s">
        <v>44</v>
      </c>
      <c r="F30" s="1"/>
      <c r="G30" s="4" t="s">
        <v>58</v>
      </c>
      <c r="H30" s="5" t="s">
        <v>59</v>
      </c>
      <c r="I30" s="5"/>
      <c r="J30" s="6"/>
      <c r="K30" s="6"/>
      <c r="L30" s="7"/>
      <c r="M30" s="1"/>
      <c r="N30" s="8">
        <v>0.43</v>
      </c>
      <c r="O30" s="1"/>
      <c r="P30" s="9">
        <v>2000.0</v>
      </c>
      <c r="Q30" s="9">
        <v>1100.0</v>
      </c>
      <c r="R30" s="10"/>
      <c r="S30" s="11">
        <v>45376.0</v>
      </c>
    </row>
    <row r="31" ht="9.0" customHeight="1">
      <c r="A31" s="4" t="s">
        <v>19</v>
      </c>
      <c r="B31" s="4" t="s">
        <v>20</v>
      </c>
      <c r="C31" s="4" t="s">
        <v>20</v>
      </c>
      <c r="D31" s="1"/>
      <c r="E31" s="4" t="s">
        <v>44</v>
      </c>
      <c r="F31" s="1"/>
      <c r="G31" s="4" t="s">
        <v>60</v>
      </c>
      <c r="H31" s="5" t="s">
        <v>61</v>
      </c>
      <c r="I31" s="5"/>
      <c r="J31" s="6"/>
      <c r="K31" s="6"/>
      <c r="L31" s="7" t="s">
        <v>23</v>
      </c>
      <c r="M31" s="1"/>
      <c r="N31" s="8">
        <v>0.43</v>
      </c>
      <c r="O31" s="1"/>
      <c r="P31" s="9">
        <v>1500.0</v>
      </c>
      <c r="Q31" s="9">
        <v>850.0</v>
      </c>
      <c r="R31" s="10"/>
      <c r="S31" s="11">
        <v>45132.0</v>
      </c>
    </row>
    <row r="32" ht="9.0" customHeight="1">
      <c r="A32" s="4" t="s">
        <v>19</v>
      </c>
      <c r="B32" s="4" t="s">
        <v>20</v>
      </c>
      <c r="C32" s="4" t="s">
        <v>20</v>
      </c>
      <c r="D32" s="1"/>
      <c r="E32" s="4" t="s">
        <v>44</v>
      </c>
      <c r="F32" s="1"/>
      <c r="G32" s="4" t="s">
        <v>62</v>
      </c>
      <c r="H32" s="5"/>
      <c r="I32" s="5"/>
      <c r="J32" s="6"/>
      <c r="K32" s="6"/>
      <c r="L32" s="7" t="s">
        <v>23</v>
      </c>
      <c r="M32" s="1"/>
      <c r="N32" s="8">
        <v>0.43</v>
      </c>
      <c r="O32" s="1"/>
      <c r="P32" s="9">
        <v>900.0</v>
      </c>
      <c r="Q32" s="9">
        <v>550.0</v>
      </c>
      <c r="R32" s="10"/>
      <c r="S32" s="11">
        <v>45136.0</v>
      </c>
    </row>
    <row r="33" ht="9.0" customHeight="1">
      <c r="A33" s="4" t="s">
        <v>19</v>
      </c>
      <c r="B33" s="4" t="s">
        <v>20</v>
      </c>
      <c r="C33" s="4" t="s">
        <v>20</v>
      </c>
      <c r="D33" s="1"/>
      <c r="E33" s="4" t="s">
        <v>44</v>
      </c>
      <c r="F33" s="1"/>
      <c r="G33" s="4" t="s">
        <v>63</v>
      </c>
      <c r="H33" s="5" t="s">
        <v>64</v>
      </c>
      <c r="I33" s="5"/>
      <c r="J33" s="6"/>
      <c r="K33" s="6"/>
      <c r="L33" s="7"/>
      <c r="M33" s="1"/>
      <c r="N33" s="8">
        <v>0.43</v>
      </c>
      <c r="O33" s="1"/>
      <c r="P33" s="9">
        <v>1300.0</v>
      </c>
      <c r="Q33" s="9">
        <v>700.0</v>
      </c>
      <c r="R33" s="10"/>
      <c r="S33" s="4"/>
    </row>
    <row r="34" ht="9.0" customHeight="1">
      <c r="A34" s="4" t="s">
        <v>19</v>
      </c>
      <c r="B34" s="4" t="s">
        <v>20</v>
      </c>
      <c r="C34" s="4" t="s">
        <v>20</v>
      </c>
      <c r="D34" s="1"/>
      <c r="E34" s="4" t="s">
        <v>44</v>
      </c>
      <c r="F34" s="1"/>
      <c r="G34" s="4" t="s">
        <v>65</v>
      </c>
      <c r="H34" s="5"/>
      <c r="I34" s="5"/>
      <c r="J34" s="6"/>
      <c r="K34" s="6"/>
      <c r="L34" s="7" t="s">
        <v>23</v>
      </c>
      <c r="M34" s="1"/>
      <c r="N34" s="8">
        <v>0.4</v>
      </c>
      <c r="O34" s="1"/>
      <c r="P34" s="9">
        <v>1000.0</v>
      </c>
      <c r="Q34" s="9">
        <v>600.0</v>
      </c>
      <c r="R34" s="10"/>
      <c r="S34" s="11">
        <v>45601.0</v>
      </c>
    </row>
    <row r="35" ht="9.0" customHeight="1">
      <c r="A35" s="4" t="s">
        <v>19</v>
      </c>
      <c r="B35" s="4" t="s">
        <v>20</v>
      </c>
      <c r="C35" s="4" t="s">
        <v>20</v>
      </c>
      <c r="D35" s="1"/>
      <c r="E35" s="4" t="s">
        <v>44</v>
      </c>
      <c r="F35" s="1"/>
      <c r="G35" s="4" t="s">
        <v>65</v>
      </c>
      <c r="H35" s="5" t="s">
        <v>64</v>
      </c>
      <c r="I35" s="5"/>
      <c r="J35" s="6"/>
      <c r="K35" s="6"/>
      <c r="L35" s="7"/>
      <c r="M35" s="1"/>
      <c r="N35" s="8">
        <v>0.43</v>
      </c>
      <c r="O35" s="1"/>
      <c r="P35" s="9">
        <v>1500.0</v>
      </c>
      <c r="Q35" s="9">
        <v>850.0</v>
      </c>
      <c r="R35" s="10"/>
      <c r="S35" s="11">
        <v>45138.0</v>
      </c>
    </row>
    <row r="36" ht="9.0" customHeight="1">
      <c r="A36" s="4" t="s">
        <v>19</v>
      </c>
      <c r="B36" s="4" t="s">
        <v>20</v>
      </c>
      <c r="C36" s="4" t="s">
        <v>20</v>
      </c>
      <c r="D36" s="1"/>
      <c r="E36" s="4" t="s">
        <v>44</v>
      </c>
      <c r="F36" s="1"/>
      <c r="G36" s="4" t="s">
        <v>66</v>
      </c>
      <c r="H36" s="5" t="s">
        <v>64</v>
      </c>
      <c r="I36" s="5"/>
      <c r="J36" s="6"/>
      <c r="K36" s="6"/>
      <c r="L36" s="7"/>
      <c r="M36" s="1"/>
      <c r="N36" s="8">
        <v>0.43</v>
      </c>
      <c r="O36" s="1"/>
      <c r="P36" s="9">
        <v>1500.0</v>
      </c>
      <c r="Q36" s="9">
        <v>850.0</v>
      </c>
      <c r="R36" s="10"/>
      <c r="S36" s="11">
        <v>45157.0</v>
      </c>
    </row>
    <row r="37" ht="9.0" customHeight="1">
      <c r="A37" s="4" t="s">
        <v>19</v>
      </c>
      <c r="B37" s="4" t="s">
        <v>20</v>
      </c>
      <c r="C37" s="4" t="s">
        <v>20</v>
      </c>
      <c r="D37" s="1"/>
      <c r="E37" s="4" t="s">
        <v>44</v>
      </c>
      <c r="F37" s="1"/>
      <c r="G37" s="4" t="s">
        <v>67</v>
      </c>
      <c r="H37" s="5"/>
      <c r="I37" s="5"/>
      <c r="J37" s="6"/>
      <c r="K37" s="6"/>
      <c r="L37" s="7"/>
      <c r="M37" s="1"/>
      <c r="N37" s="8">
        <v>0.4</v>
      </c>
      <c r="O37" s="1"/>
      <c r="P37" s="9">
        <v>1500.0</v>
      </c>
      <c r="Q37" s="9">
        <v>850.0</v>
      </c>
      <c r="R37" s="10"/>
      <c r="S37" s="11">
        <v>45152.0</v>
      </c>
    </row>
    <row r="38" ht="9.0" customHeight="1">
      <c r="A38" s="4" t="s">
        <v>19</v>
      </c>
      <c r="B38" s="4" t="s">
        <v>20</v>
      </c>
      <c r="C38" s="4" t="s">
        <v>20</v>
      </c>
      <c r="D38" s="1"/>
      <c r="E38" s="4" t="s">
        <v>44</v>
      </c>
      <c r="F38" s="1"/>
      <c r="G38" s="4" t="s">
        <v>68</v>
      </c>
      <c r="H38" s="5"/>
      <c r="I38" s="5"/>
      <c r="J38" s="6"/>
      <c r="K38" s="6"/>
      <c r="L38" s="7" t="s">
        <v>23</v>
      </c>
      <c r="M38" s="1"/>
      <c r="N38" s="8">
        <v>0.43</v>
      </c>
      <c r="O38" s="1"/>
      <c r="P38" s="9">
        <v>1000.0</v>
      </c>
      <c r="Q38" s="9">
        <v>600.0</v>
      </c>
      <c r="R38" s="10"/>
      <c r="S38" s="11">
        <v>45598.0</v>
      </c>
    </row>
    <row r="39" ht="9.0" customHeight="1">
      <c r="A39" s="4" t="s">
        <v>19</v>
      </c>
      <c r="B39" s="4" t="s">
        <v>20</v>
      </c>
      <c r="C39" s="4" t="s">
        <v>20</v>
      </c>
      <c r="D39" s="1"/>
      <c r="E39" s="4" t="s">
        <v>44</v>
      </c>
      <c r="F39" s="1"/>
      <c r="G39" s="4" t="s">
        <v>69</v>
      </c>
      <c r="H39" s="5" t="s">
        <v>64</v>
      </c>
      <c r="I39" s="5"/>
      <c r="J39" s="6"/>
      <c r="K39" s="6"/>
      <c r="L39" s="7"/>
      <c r="M39" s="1"/>
      <c r="N39" s="8">
        <v>0.43</v>
      </c>
      <c r="O39" s="1"/>
      <c r="P39" s="9">
        <v>1500.0</v>
      </c>
      <c r="Q39" s="9">
        <v>850.0</v>
      </c>
      <c r="R39" s="10"/>
      <c r="S39" s="11">
        <v>45148.0</v>
      </c>
    </row>
    <row r="40" ht="9.0" customHeight="1">
      <c r="A40" s="4" t="s">
        <v>19</v>
      </c>
      <c r="B40" s="4" t="s">
        <v>20</v>
      </c>
      <c r="C40" s="4" t="s">
        <v>20</v>
      </c>
      <c r="D40" s="1"/>
      <c r="E40" s="4" t="s">
        <v>44</v>
      </c>
      <c r="F40" s="1"/>
      <c r="G40" s="4" t="s">
        <v>70</v>
      </c>
      <c r="H40" s="5"/>
      <c r="I40" s="5"/>
      <c r="J40" s="6"/>
      <c r="K40" s="6"/>
      <c r="L40" s="7"/>
      <c r="M40" s="1"/>
      <c r="N40" s="8">
        <v>0.43</v>
      </c>
      <c r="O40" s="1"/>
      <c r="P40" s="9">
        <v>1800.0</v>
      </c>
      <c r="Q40" s="9">
        <v>1000.0</v>
      </c>
      <c r="R40" s="10"/>
      <c r="S40" s="11">
        <v>45315.0</v>
      </c>
    </row>
    <row r="41" ht="9.0" customHeight="1">
      <c r="A41" s="4" t="s">
        <v>19</v>
      </c>
      <c r="B41" s="4" t="s">
        <v>20</v>
      </c>
      <c r="C41" s="4" t="s">
        <v>20</v>
      </c>
      <c r="D41" s="1"/>
      <c r="E41" s="4" t="s">
        <v>44</v>
      </c>
      <c r="F41" s="1"/>
      <c r="G41" s="4" t="s">
        <v>71</v>
      </c>
      <c r="H41" s="5"/>
      <c r="I41" s="5"/>
      <c r="J41" s="6"/>
      <c r="K41" s="6"/>
      <c r="L41" s="7"/>
      <c r="M41" s="1"/>
      <c r="N41" s="8">
        <v>0.43</v>
      </c>
      <c r="O41" s="1"/>
      <c r="P41" s="9">
        <v>2200.0</v>
      </c>
      <c r="Q41" s="9">
        <v>1200.0</v>
      </c>
      <c r="R41" s="10"/>
      <c r="S41" s="11">
        <v>45317.0</v>
      </c>
    </row>
    <row r="42" ht="9.0" customHeight="1">
      <c r="A42" s="4" t="s">
        <v>19</v>
      </c>
      <c r="B42" s="4" t="s">
        <v>20</v>
      </c>
      <c r="C42" s="4" t="s">
        <v>20</v>
      </c>
      <c r="D42" s="1"/>
      <c r="E42" s="4" t="s">
        <v>44</v>
      </c>
      <c r="F42" s="1"/>
      <c r="G42" s="4" t="s">
        <v>72</v>
      </c>
      <c r="H42" s="5"/>
      <c r="I42" s="5"/>
      <c r="J42" s="6"/>
      <c r="K42" s="6"/>
      <c r="L42" s="7"/>
      <c r="M42" s="1"/>
      <c r="N42" s="8">
        <v>0.43</v>
      </c>
      <c r="O42" s="1"/>
      <c r="P42" s="9">
        <v>2200.0</v>
      </c>
      <c r="Q42" s="9">
        <v>1200.0</v>
      </c>
      <c r="R42" s="10"/>
      <c r="S42" s="11">
        <v>45154.0</v>
      </c>
    </row>
    <row r="43" ht="9.0" customHeight="1">
      <c r="A43" s="4" t="s">
        <v>19</v>
      </c>
      <c r="B43" s="4" t="s">
        <v>20</v>
      </c>
      <c r="C43" s="4" t="s">
        <v>20</v>
      </c>
      <c r="D43" s="1"/>
      <c r="E43" s="4" t="s">
        <v>44</v>
      </c>
      <c r="F43" s="1"/>
      <c r="G43" s="4" t="s">
        <v>73</v>
      </c>
      <c r="H43" s="5"/>
      <c r="I43" s="5"/>
      <c r="J43" s="6"/>
      <c r="K43" s="6"/>
      <c r="L43" s="7" t="s">
        <v>23</v>
      </c>
      <c r="M43" s="1"/>
      <c r="N43" s="8">
        <v>0.4</v>
      </c>
      <c r="O43" s="1"/>
      <c r="P43" s="9">
        <v>900.0</v>
      </c>
      <c r="Q43" s="9">
        <v>550.0</v>
      </c>
      <c r="R43" s="10"/>
      <c r="S43" s="4"/>
    </row>
    <row r="44" ht="9.0" customHeight="1">
      <c r="A44" s="4" t="s">
        <v>19</v>
      </c>
      <c r="B44" s="4" t="s">
        <v>20</v>
      </c>
      <c r="C44" s="4" t="s">
        <v>20</v>
      </c>
      <c r="D44" s="1"/>
      <c r="E44" s="4" t="s">
        <v>44</v>
      </c>
      <c r="F44" s="1"/>
      <c r="G44" s="4" t="s">
        <v>74</v>
      </c>
      <c r="H44" s="5" t="s">
        <v>75</v>
      </c>
      <c r="I44" s="5"/>
      <c r="J44" s="6"/>
      <c r="K44" s="6"/>
      <c r="L44" s="7"/>
      <c r="M44" s="1"/>
      <c r="N44" s="8">
        <v>0.39</v>
      </c>
      <c r="O44" s="1"/>
      <c r="P44" s="9">
        <v>1000.0</v>
      </c>
      <c r="Q44" s="9">
        <v>600.0</v>
      </c>
      <c r="R44" s="10"/>
      <c r="S44" s="4"/>
    </row>
    <row r="45" ht="9.0" customHeight="1">
      <c r="A45" s="4" t="s">
        <v>19</v>
      </c>
      <c r="B45" s="4" t="s">
        <v>20</v>
      </c>
      <c r="C45" s="4" t="s">
        <v>20</v>
      </c>
      <c r="D45" s="1"/>
      <c r="E45" s="4" t="s">
        <v>44</v>
      </c>
      <c r="F45" s="1"/>
      <c r="G45" s="4" t="s">
        <v>76</v>
      </c>
      <c r="H45" s="12" t="s">
        <v>32</v>
      </c>
      <c r="I45" s="12"/>
      <c r="J45" s="6"/>
      <c r="K45" s="6"/>
      <c r="L45" s="6"/>
      <c r="M45" s="1"/>
      <c r="N45" s="8">
        <v>0.48</v>
      </c>
      <c r="O45" s="1"/>
      <c r="P45" s="9">
        <v>2200.0</v>
      </c>
      <c r="Q45" s="9">
        <v>1200.0</v>
      </c>
      <c r="R45" s="10"/>
      <c r="S45" s="11">
        <v>45434.0</v>
      </c>
    </row>
    <row r="46" ht="9.0" customHeight="1">
      <c r="A46" s="4" t="s">
        <v>19</v>
      </c>
      <c r="B46" s="4" t="s">
        <v>20</v>
      </c>
      <c r="C46" s="4" t="s">
        <v>20</v>
      </c>
      <c r="D46" s="1"/>
      <c r="E46" s="4" t="s">
        <v>44</v>
      </c>
      <c r="F46" s="1"/>
      <c r="G46" s="4" t="s">
        <v>77</v>
      </c>
      <c r="H46" s="5" t="s">
        <v>64</v>
      </c>
      <c r="I46" s="5"/>
      <c r="J46" s="6"/>
      <c r="K46" s="6"/>
      <c r="L46" s="7"/>
      <c r="M46" s="1"/>
      <c r="N46" s="8">
        <v>0.4</v>
      </c>
      <c r="O46" s="1"/>
      <c r="P46" s="9">
        <v>1500.0</v>
      </c>
      <c r="Q46" s="9">
        <v>850.0</v>
      </c>
      <c r="R46" s="10"/>
      <c r="S46" s="4"/>
    </row>
    <row r="47" ht="9.0" customHeight="1">
      <c r="A47" s="4" t="s">
        <v>19</v>
      </c>
      <c r="B47" s="4" t="s">
        <v>20</v>
      </c>
      <c r="C47" s="4" t="s">
        <v>20</v>
      </c>
      <c r="D47" s="1"/>
      <c r="E47" s="4" t="s">
        <v>44</v>
      </c>
      <c r="F47" s="1"/>
      <c r="G47" s="4" t="s">
        <v>78</v>
      </c>
      <c r="H47" s="5" t="s">
        <v>79</v>
      </c>
      <c r="I47" s="5"/>
      <c r="J47" s="6"/>
      <c r="K47" s="6"/>
      <c r="L47" s="7"/>
      <c r="M47" s="1"/>
      <c r="N47" s="8">
        <v>0.4</v>
      </c>
      <c r="O47" s="1"/>
      <c r="P47" s="9">
        <v>1100.0</v>
      </c>
      <c r="Q47" s="9">
        <v>650.0</v>
      </c>
      <c r="R47" s="10"/>
      <c r="S47" s="4"/>
    </row>
    <row r="48" ht="9.0" customHeight="1">
      <c r="A48" s="4" t="s">
        <v>19</v>
      </c>
      <c r="B48" s="4" t="s">
        <v>20</v>
      </c>
      <c r="C48" s="4" t="s">
        <v>20</v>
      </c>
      <c r="D48" s="1"/>
      <c r="E48" s="4" t="s">
        <v>44</v>
      </c>
      <c r="F48" s="1"/>
      <c r="G48" s="4" t="s">
        <v>80</v>
      </c>
      <c r="H48" s="5" t="s">
        <v>64</v>
      </c>
      <c r="I48" s="5"/>
      <c r="J48" s="6"/>
      <c r="K48" s="6"/>
      <c r="L48" s="7"/>
      <c r="M48" s="1"/>
      <c r="N48" s="8">
        <v>0.43</v>
      </c>
      <c r="O48" s="1"/>
      <c r="P48" s="9">
        <v>2200.0</v>
      </c>
      <c r="Q48" s="9">
        <v>1200.0</v>
      </c>
      <c r="R48" s="10"/>
      <c r="S48" s="11">
        <v>45258.0</v>
      </c>
    </row>
    <row r="49" ht="9.0" customHeight="1">
      <c r="A49" s="4" t="s">
        <v>19</v>
      </c>
      <c r="B49" s="4" t="s">
        <v>20</v>
      </c>
      <c r="C49" s="4" t="s">
        <v>20</v>
      </c>
      <c r="D49" s="1"/>
      <c r="E49" s="4" t="s">
        <v>44</v>
      </c>
      <c r="F49" s="1"/>
      <c r="G49" s="4" t="s">
        <v>81</v>
      </c>
      <c r="H49" s="5" t="s">
        <v>79</v>
      </c>
      <c r="I49" s="5"/>
      <c r="J49" s="6"/>
      <c r="K49" s="6"/>
      <c r="L49" s="7"/>
      <c r="M49" s="1"/>
      <c r="N49" s="8">
        <v>0.42</v>
      </c>
      <c r="O49" s="1"/>
      <c r="P49" s="9">
        <v>1300.0</v>
      </c>
      <c r="Q49" s="9">
        <v>700.0</v>
      </c>
      <c r="R49" s="10"/>
      <c r="S49" s="11">
        <v>45377.0</v>
      </c>
    </row>
    <row r="50" ht="9.0" customHeight="1">
      <c r="A50" s="4" t="s">
        <v>19</v>
      </c>
      <c r="B50" s="4" t="s">
        <v>20</v>
      </c>
      <c r="C50" s="4" t="s">
        <v>20</v>
      </c>
      <c r="D50" s="1"/>
      <c r="E50" s="4" t="s">
        <v>44</v>
      </c>
      <c r="F50" s="1"/>
      <c r="G50" s="4" t="s">
        <v>82</v>
      </c>
      <c r="H50" s="5"/>
      <c r="I50" s="5"/>
      <c r="J50" s="6"/>
      <c r="K50" s="6"/>
      <c r="L50" s="7"/>
      <c r="M50" s="1"/>
      <c r="N50" s="8">
        <v>0.43</v>
      </c>
      <c r="O50" s="1"/>
      <c r="P50" s="9">
        <v>2400.0</v>
      </c>
      <c r="Q50" s="9">
        <v>1300.0</v>
      </c>
      <c r="R50" s="10"/>
      <c r="S50" s="11">
        <v>45443.0</v>
      </c>
    </row>
    <row r="51" ht="9.0" customHeight="1">
      <c r="A51" s="4" t="s">
        <v>19</v>
      </c>
      <c r="B51" s="4" t="s">
        <v>20</v>
      </c>
      <c r="C51" s="4" t="s">
        <v>20</v>
      </c>
      <c r="D51" s="1"/>
      <c r="E51" s="4" t="s">
        <v>44</v>
      </c>
      <c r="F51" s="1"/>
      <c r="G51" s="4" t="s">
        <v>83</v>
      </c>
      <c r="H51" s="5" t="s">
        <v>64</v>
      </c>
      <c r="I51" s="5"/>
      <c r="J51" s="6"/>
      <c r="K51" s="6"/>
      <c r="L51" s="7"/>
      <c r="M51" s="1"/>
      <c r="N51" s="8">
        <v>0.43</v>
      </c>
      <c r="O51" s="1"/>
      <c r="P51" s="9">
        <v>1500.0</v>
      </c>
      <c r="Q51" s="9">
        <v>850.0</v>
      </c>
      <c r="R51" s="10"/>
      <c r="S51" s="4"/>
    </row>
    <row r="52" ht="9.0" customHeight="1">
      <c r="A52" s="4" t="s">
        <v>19</v>
      </c>
      <c r="B52" s="4" t="s">
        <v>20</v>
      </c>
      <c r="C52" s="4" t="s">
        <v>20</v>
      </c>
      <c r="D52" s="1"/>
      <c r="E52" s="4" t="s">
        <v>44</v>
      </c>
      <c r="F52" s="1"/>
      <c r="G52" s="4" t="s">
        <v>84</v>
      </c>
      <c r="H52" s="5"/>
      <c r="I52" s="5"/>
      <c r="J52" s="6"/>
      <c r="K52" s="6"/>
      <c r="L52" s="7"/>
      <c r="M52" s="1"/>
      <c r="N52" s="8">
        <v>0.43</v>
      </c>
      <c r="O52" s="1"/>
      <c r="P52" s="9">
        <v>1300.0</v>
      </c>
      <c r="Q52" s="9">
        <v>750.0</v>
      </c>
      <c r="R52" s="10"/>
      <c r="S52" s="11">
        <v>45173.0</v>
      </c>
    </row>
    <row r="53" ht="9.0" customHeight="1">
      <c r="A53" s="4" t="s">
        <v>19</v>
      </c>
      <c r="B53" s="4" t="s">
        <v>20</v>
      </c>
      <c r="C53" s="4" t="s">
        <v>20</v>
      </c>
      <c r="D53" s="1"/>
      <c r="E53" s="4" t="s">
        <v>44</v>
      </c>
      <c r="F53" s="1"/>
      <c r="G53" s="4" t="s">
        <v>85</v>
      </c>
      <c r="H53" s="5" t="s">
        <v>79</v>
      </c>
      <c r="I53" s="5"/>
      <c r="J53" s="6"/>
      <c r="K53" s="6"/>
      <c r="L53" s="7"/>
      <c r="M53" s="1"/>
      <c r="N53" s="8">
        <v>0.42</v>
      </c>
      <c r="O53" s="1"/>
      <c r="P53" s="9">
        <v>1100.0</v>
      </c>
      <c r="Q53" s="9">
        <v>650.0</v>
      </c>
      <c r="R53" s="10"/>
      <c r="S53" s="4"/>
    </row>
    <row r="54" ht="9.0" customHeight="1">
      <c r="A54" s="4" t="s">
        <v>19</v>
      </c>
      <c r="B54" s="4" t="s">
        <v>20</v>
      </c>
      <c r="C54" s="4" t="s">
        <v>20</v>
      </c>
      <c r="D54" s="1"/>
      <c r="E54" s="4" t="s">
        <v>44</v>
      </c>
      <c r="F54" s="1"/>
      <c r="G54" s="4" t="s">
        <v>86</v>
      </c>
      <c r="H54" s="5"/>
      <c r="I54" s="5"/>
      <c r="J54" s="6"/>
      <c r="K54" s="6"/>
      <c r="L54" s="7"/>
      <c r="M54" s="1"/>
      <c r="N54" s="8">
        <v>0.4</v>
      </c>
      <c r="O54" s="1"/>
      <c r="P54" s="9">
        <v>1100.0</v>
      </c>
      <c r="Q54" s="9">
        <v>650.0</v>
      </c>
      <c r="R54" s="10"/>
      <c r="S54" s="4"/>
    </row>
    <row r="55" ht="9.0" customHeight="1">
      <c r="A55" s="4" t="s">
        <v>19</v>
      </c>
      <c r="B55" s="4" t="s">
        <v>20</v>
      </c>
      <c r="C55" s="4" t="s">
        <v>20</v>
      </c>
      <c r="D55" s="1"/>
      <c r="E55" s="4" t="s">
        <v>44</v>
      </c>
      <c r="F55" s="1"/>
      <c r="G55" s="4" t="s">
        <v>87</v>
      </c>
      <c r="H55" s="5"/>
      <c r="I55" s="5"/>
      <c r="J55" s="6"/>
      <c r="K55" s="6"/>
      <c r="L55" s="7"/>
      <c r="M55" s="1"/>
      <c r="N55" s="8">
        <v>0.43</v>
      </c>
      <c r="O55" s="1"/>
      <c r="P55" s="9">
        <v>2200.0</v>
      </c>
      <c r="Q55" s="9">
        <v>1200.0</v>
      </c>
      <c r="R55" s="10"/>
      <c r="S55" s="11">
        <v>45259.0</v>
      </c>
    </row>
    <row r="56" ht="9.0" customHeight="1">
      <c r="A56" s="4" t="s">
        <v>19</v>
      </c>
      <c r="B56" s="4" t="s">
        <v>20</v>
      </c>
      <c r="C56" s="4" t="s">
        <v>20</v>
      </c>
      <c r="D56" s="1"/>
      <c r="E56" s="4" t="s">
        <v>44</v>
      </c>
      <c r="F56" s="1"/>
      <c r="G56" s="4" t="s">
        <v>88</v>
      </c>
      <c r="H56" s="5"/>
      <c r="I56" s="5"/>
      <c r="J56" s="6" t="s">
        <v>89</v>
      </c>
      <c r="K56" s="6"/>
      <c r="L56" s="7"/>
      <c r="M56" s="1"/>
      <c r="N56" s="8">
        <v>0.4</v>
      </c>
      <c r="O56" s="1"/>
      <c r="P56" s="9">
        <v>1100.0</v>
      </c>
      <c r="Q56" s="9">
        <v>650.0</v>
      </c>
      <c r="R56" s="10"/>
      <c r="S56" s="4"/>
    </row>
    <row r="57" ht="9.0" customHeight="1">
      <c r="A57" s="4" t="s">
        <v>19</v>
      </c>
      <c r="B57" s="4" t="s">
        <v>90</v>
      </c>
      <c r="C57" s="4" t="s">
        <v>90</v>
      </c>
      <c r="D57" s="1" t="s">
        <v>91</v>
      </c>
      <c r="E57" s="4" t="s">
        <v>92</v>
      </c>
      <c r="F57" s="1" t="s">
        <v>93</v>
      </c>
      <c r="G57" s="4" t="s">
        <v>94</v>
      </c>
      <c r="H57" s="5" t="s">
        <v>95</v>
      </c>
      <c r="I57" s="5"/>
      <c r="J57" s="6" t="s">
        <v>96</v>
      </c>
      <c r="K57" s="6"/>
      <c r="L57" s="7"/>
      <c r="M57" s="1"/>
      <c r="N57" s="8">
        <v>0.55</v>
      </c>
      <c r="O57" s="1"/>
      <c r="P57" s="9"/>
      <c r="Q57" s="9"/>
      <c r="R57" s="10">
        <v>1400.0</v>
      </c>
      <c r="S57" s="11">
        <v>45622.0</v>
      </c>
    </row>
    <row r="58" ht="9.0" customHeight="1">
      <c r="A58" s="4" t="s">
        <v>19</v>
      </c>
      <c r="B58" s="14" t="s">
        <v>90</v>
      </c>
      <c r="C58" s="4" t="s">
        <v>90</v>
      </c>
      <c r="D58" s="1" t="s">
        <v>91</v>
      </c>
      <c r="E58" s="4" t="s">
        <v>92</v>
      </c>
      <c r="F58" s="1" t="s">
        <v>97</v>
      </c>
      <c r="G58" s="4" t="s">
        <v>94</v>
      </c>
      <c r="H58" s="5" t="s">
        <v>95</v>
      </c>
      <c r="I58" s="5"/>
      <c r="J58" s="6" t="s">
        <v>96</v>
      </c>
      <c r="K58" s="6"/>
      <c r="L58" s="7"/>
      <c r="M58" s="1"/>
      <c r="N58" s="8">
        <v>0.55</v>
      </c>
      <c r="O58" s="1"/>
      <c r="P58" s="9"/>
      <c r="Q58" s="9"/>
      <c r="R58" s="10">
        <v>1400.0</v>
      </c>
      <c r="S58" s="11">
        <v>45621.0</v>
      </c>
    </row>
    <row r="59" ht="9.0" customHeight="1">
      <c r="A59" s="4" t="s">
        <v>19</v>
      </c>
      <c r="B59" s="14" t="s">
        <v>90</v>
      </c>
      <c r="C59" s="4" t="s">
        <v>90</v>
      </c>
      <c r="D59" s="1" t="s">
        <v>91</v>
      </c>
      <c r="E59" s="4" t="s">
        <v>92</v>
      </c>
      <c r="F59" s="1" t="s">
        <v>98</v>
      </c>
      <c r="G59" s="4" t="s">
        <v>94</v>
      </c>
      <c r="H59" s="5" t="s">
        <v>95</v>
      </c>
      <c r="I59" s="5"/>
      <c r="J59" s="6" t="s">
        <v>96</v>
      </c>
      <c r="K59" s="6"/>
      <c r="L59" s="7"/>
      <c r="M59" s="1"/>
      <c r="N59" s="8">
        <v>0.56</v>
      </c>
      <c r="O59" s="1"/>
      <c r="P59" s="9"/>
      <c r="Q59" s="9"/>
      <c r="R59" s="10">
        <v>1400.0</v>
      </c>
      <c r="S59" s="11">
        <v>45685.0</v>
      </c>
    </row>
    <row r="60" ht="9.0" customHeight="1">
      <c r="A60" s="4" t="s">
        <v>19</v>
      </c>
      <c r="B60" s="14" t="s">
        <v>90</v>
      </c>
      <c r="C60" s="4" t="s">
        <v>90</v>
      </c>
      <c r="D60" s="1" t="s">
        <v>91</v>
      </c>
      <c r="E60" s="4" t="s">
        <v>92</v>
      </c>
      <c r="F60" s="1" t="s">
        <v>99</v>
      </c>
      <c r="G60" s="4" t="s">
        <v>94</v>
      </c>
      <c r="H60" s="5" t="s">
        <v>95</v>
      </c>
      <c r="I60" s="5"/>
      <c r="J60" s="6" t="s">
        <v>96</v>
      </c>
      <c r="K60" s="6"/>
      <c r="L60" s="7"/>
      <c r="M60" s="1"/>
      <c r="N60" s="8">
        <v>0.57</v>
      </c>
      <c r="O60" s="1"/>
      <c r="P60" s="9"/>
      <c r="Q60" s="9"/>
      <c r="R60" s="10">
        <v>1400.0</v>
      </c>
      <c r="S60" s="11">
        <v>45685.0</v>
      </c>
    </row>
    <row r="61" ht="9.0" customHeight="1">
      <c r="A61" s="4" t="s">
        <v>19</v>
      </c>
      <c r="B61" s="14" t="s">
        <v>90</v>
      </c>
      <c r="C61" s="4" t="s">
        <v>90</v>
      </c>
      <c r="D61" s="1" t="s">
        <v>91</v>
      </c>
      <c r="E61" s="4" t="s">
        <v>22</v>
      </c>
      <c r="F61" s="1"/>
      <c r="G61" s="4" t="s">
        <v>91</v>
      </c>
      <c r="H61" s="5"/>
      <c r="I61" s="5"/>
      <c r="J61" s="6"/>
      <c r="K61" s="6"/>
      <c r="L61" s="7" t="s">
        <v>23</v>
      </c>
      <c r="M61" s="1"/>
      <c r="N61" s="8">
        <v>0.45</v>
      </c>
      <c r="O61" s="1"/>
      <c r="P61" s="9">
        <v>1300.0</v>
      </c>
      <c r="Q61" s="9">
        <v>750.0</v>
      </c>
      <c r="R61" s="10"/>
      <c r="S61" s="4"/>
    </row>
    <row r="62" ht="9.0" customHeight="1">
      <c r="A62" s="4" t="s">
        <v>19</v>
      </c>
      <c r="B62" s="14" t="s">
        <v>90</v>
      </c>
      <c r="C62" s="4" t="s">
        <v>90</v>
      </c>
      <c r="D62" s="1" t="s">
        <v>91</v>
      </c>
      <c r="E62" s="4" t="s">
        <v>22</v>
      </c>
      <c r="F62" s="1"/>
      <c r="G62" s="4" t="s">
        <v>100</v>
      </c>
      <c r="H62" s="5"/>
      <c r="I62" s="5"/>
      <c r="J62" s="6"/>
      <c r="K62" s="6"/>
      <c r="L62" s="7"/>
      <c r="M62" s="1"/>
      <c r="N62" s="8">
        <v>0.43</v>
      </c>
      <c r="O62" s="1"/>
      <c r="P62" s="9">
        <v>1500.0</v>
      </c>
      <c r="Q62" s="9">
        <v>850.0</v>
      </c>
      <c r="R62" s="10"/>
      <c r="S62" s="4"/>
    </row>
    <row r="63" ht="9.0" customHeight="1">
      <c r="A63" s="4" t="s">
        <v>19</v>
      </c>
      <c r="B63" s="14" t="s">
        <v>90</v>
      </c>
      <c r="C63" s="4" t="s">
        <v>90</v>
      </c>
      <c r="D63" s="1" t="s">
        <v>91</v>
      </c>
      <c r="E63" s="4" t="s">
        <v>22</v>
      </c>
      <c r="F63" s="1"/>
      <c r="G63" s="4" t="s">
        <v>94</v>
      </c>
      <c r="H63" s="5"/>
      <c r="I63" s="5"/>
      <c r="J63" s="6"/>
      <c r="K63" s="6"/>
      <c r="L63" s="7" t="s">
        <v>23</v>
      </c>
      <c r="M63" s="1"/>
      <c r="N63" s="8">
        <v>0.45</v>
      </c>
      <c r="O63" s="1"/>
      <c r="P63" s="9">
        <v>2400.0</v>
      </c>
      <c r="Q63" s="9">
        <v>1300.0</v>
      </c>
      <c r="R63" s="10"/>
      <c r="S63" s="11">
        <v>45041.0</v>
      </c>
    </row>
    <row r="64" ht="9.0" customHeight="1">
      <c r="A64" s="4" t="s">
        <v>19</v>
      </c>
      <c r="B64" s="14" t="s">
        <v>90</v>
      </c>
      <c r="C64" s="4" t="s">
        <v>90</v>
      </c>
      <c r="D64" s="1" t="s">
        <v>91</v>
      </c>
      <c r="E64" s="4" t="s">
        <v>22</v>
      </c>
      <c r="F64" s="1"/>
      <c r="G64" s="4" t="s">
        <v>101</v>
      </c>
      <c r="H64" s="5"/>
      <c r="I64" s="5"/>
      <c r="J64" s="6"/>
      <c r="K64" s="6"/>
      <c r="L64" s="7"/>
      <c r="M64" s="1"/>
      <c r="N64" s="8">
        <v>0.45</v>
      </c>
      <c r="O64" s="1"/>
      <c r="P64" s="9">
        <v>2600.0</v>
      </c>
      <c r="Q64" s="9">
        <v>1400.0</v>
      </c>
      <c r="R64" s="10"/>
      <c r="S64" s="11">
        <v>44888.0</v>
      </c>
    </row>
    <row r="65" ht="9.0" customHeight="1">
      <c r="A65" s="4" t="s">
        <v>19</v>
      </c>
      <c r="B65" s="14" t="s">
        <v>90</v>
      </c>
      <c r="C65" s="4" t="s">
        <v>90</v>
      </c>
      <c r="D65" s="1" t="s">
        <v>91</v>
      </c>
      <c r="E65" s="4" t="s">
        <v>22</v>
      </c>
      <c r="F65" s="1"/>
      <c r="G65" s="4" t="s">
        <v>102</v>
      </c>
      <c r="H65" s="5" t="s">
        <v>48</v>
      </c>
      <c r="I65" s="5"/>
      <c r="J65" s="6"/>
      <c r="K65" s="6"/>
      <c r="L65" s="7" t="s">
        <v>23</v>
      </c>
      <c r="M65" s="1"/>
      <c r="N65" s="8">
        <v>0.48</v>
      </c>
      <c r="O65" s="1"/>
      <c r="P65" s="9">
        <v>2200.0</v>
      </c>
      <c r="Q65" s="9">
        <v>1200.0</v>
      </c>
      <c r="R65" s="10"/>
      <c r="S65" s="11">
        <v>44970.0</v>
      </c>
    </row>
    <row r="66" ht="9.0" customHeight="1">
      <c r="A66" s="4" t="s">
        <v>19</v>
      </c>
      <c r="B66" s="14" t="s">
        <v>90</v>
      </c>
      <c r="C66" s="4" t="s">
        <v>90</v>
      </c>
      <c r="D66" s="1" t="s">
        <v>91</v>
      </c>
      <c r="E66" s="4" t="s">
        <v>22</v>
      </c>
      <c r="F66" s="1"/>
      <c r="G66" s="4" t="s">
        <v>103</v>
      </c>
      <c r="H66" s="5" t="s">
        <v>30</v>
      </c>
      <c r="I66" s="5"/>
      <c r="J66" s="6"/>
      <c r="K66" s="6"/>
      <c r="L66" s="7" t="s">
        <v>23</v>
      </c>
      <c r="M66" s="1"/>
      <c r="N66" s="8">
        <v>0.55</v>
      </c>
      <c r="O66" s="1"/>
      <c r="P66" s="9">
        <v>2000.0</v>
      </c>
      <c r="Q66" s="9">
        <v>1100.0</v>
      </c>
      <c r="R66" s="10"/>
      <c r="S66" s="11">
        <v>45615.0</v>
      </c>
    </row>
    <row r="67" ht="9.0" customHeight="1">
      <c r="A67" s="4" t="s">
        <v>19</v>
      </c>
      <c r="B67" s="14" t="s">
        <v>90</v>
      </c>
      <c r="C67" s="4" t="s">
        <v>90</v>
      </c>
      <c r="D67" s="1" t="s">
        <v>91</v>
      </c>
      <c r="E67" s="4" t="s">
        <v>22</v>
      </c>
      <c r="F67" s="1"/>
      <c r="G67" s="4" t="s">
        <v>104</v>
      </c>
      <c r="H67" s="5" t="s">
        <v>30</v>
      </c>
      <c r="I67" s="5"/>
      <c r="J67" s="6"/>
      <c r="K67" s="6"/>
      <c r="L67" s="7" t="s">
        <v>23</v>
      </c>
      <c r="M67" s="1"/>
      <c r="N67" s="8">
        <v>0.55</v>
      </c>
      <c r="O67" s="1"/>
      <c r="P67" s="9">
        <v>2000.0</v>
      </c>
      <c r="Q67" s="9">
        <v>1100.0</v>
      </c>
      <c r="R67" s="10"/>
      <c r="S67" s="11">
        <v>45614.0</v>
      </c>
    </row>
    <row r="68" ht="9.0" customHeight="1">
      <c r="A68" s="4" t="s">
        <v>19</v>
      </c>
      <c r="B68" s="14" t="s">
        <v>90</v>
      </c>
      <c r="C68" s="4" t="s">
        <v>90</v>
      </c>
      <c r="D68" s="1" t="s">
        <v>91</v>
      </c>
      <c r="E68" s="4" t="s">
        <v>22</v>
      </c>
      <c r="F68" s="1"/>
      <c r="G68" s="4" t="s">
        <v>105</v>
      </c>
      <c r="H68" s="5" t="s">
        <v>30</v>
      </c>
      <c r="I68" s="5"/>
      <c r="J68" s="6"/>
      <c r="K68" s="6"/>
      <c r="L68" s="7" t="s">
        <v>23</v>
      </c>
      <c r="M68" s="1"/>
      <c r="N68" s="8">
        <v>0.55</v>
      </c>
      <c r="O68" s="1"/>
      <c r="P68" s="9">
        <v>2000.0</v>
      </c>
      <c r="Q68" s="9">
        <v>1100.0</v>
      </c>
      <c r="R68" s="10"/>
      <c r="S68" s="11">
        <v>45613.0</v>
      </c>
    </row>
    <row r="69" ht="9.0" customHeight="1">
      <c r="A69" s="4" t="s">
        <v>19</v>
      </c>
      <c r="B69" s="14" t="s">
        <v>90</v>
      </c>
      <c r="C69" s="4" t="s">
        <v>90</v>
      </c>
      <c r="D69" s="1" t="s">
        <v>91</v>
      </c>
      <c r="E69" s="4" t="s">
        <v>22</v>
      </c>
      <c r="F69" s="1"/>
      <c r="G69" s="4" t="s">
        <v>106</v>
      </c>
      <c r="H69" s="5"/>
      <c r="I69" s="5"/>
      <c r="J69" s="6"/>
      <c r="K69" s="6"/>
      <c r="L69" s="7"/>
      <c r="M69" s="1"/>
      <c r="N69" s="8">
        <v>0.46</v>
      </c>
      <c r="O69" s="1">
        <v>3500.0</v>
      </c>
      <c r="P69" s="9">
        <v>3000.0</v>
      </c>
      <c r="Q69" s="9">
        <v>1600.0</v>
      </c>
      <c r="R69" s="10"/>
      <c r="S69" s="11">
        <v>45215.0</v>
      </c>
    </row>
    <row r="70" ht="9.0" customHeight="1">
      <c r="A70" s="4" t="s">
        <v>19</v>
      </c>
      <c r="B70" s="14" t="s">
        <v>90</v>
      </c>
      <c r="C70" s="4" t="s">
        <v>90</v>
      </c>
      <c r="D70" s="1" t="s">
        <v>91</v>
      </c>
      <c r="E70" s="4" t="s">
        <v>22</v>
      </c>
      <c r="F70" s="1"/>
      <c r="G70" s="4" t="s">
        <v>107</v>
      </c>
      <c r="H70" s="5"/>
      <c r="I70" s="5"/>
      <c r="J70" s="6"/>
      <c r="K70" s="6"/>
      <c r="L70" s="7"/>
      <c r="M70" s="1"/>
      <c r="N70" s="8">
        <v>0.48</v>
      </c>
      <c r="O70" s="1">
        <v>4000.0</v>
      </c>
      <c r="P70" s="9">
        <v>3000.0</v>
      </c>
      <c r="Q70" s="9">
        <v>1600.0</v>
      </c>
      <c r="R70" s="10"/>
      <c r="S70" s="11">
        <v>45221.0</v>
      </c>
    </row>
    <row r="71" ht="9.0" customHeight="1">
      <c r="A71" s="4" t="s">
        <v>19</v>
      </c>
      <c r="B71" s="14" t="s">
        <v>90</v>
      </c>
      <c r="C71" s="4" t="s">
        <v>90</v>
      </c>
      <c r="D71" s="1" t="s">
        <v>91</v>
      </c>
      <c r="E71" s="4" t="s">
        <v>22</v>
      </c>
      <c r="F71" s="1"/>
      <c r="G71" s="4" t="s">
        <v>108</v>
      </c>
      <c r="H71" s="5"/>
      <c r="I71" s="5"/>
      <c r="J71" s="6"/>
      <c r="K71" s="6"/>
      <c r="L71" s="7"/>
      <c r="M71" s="1"/>
      <c r="N71" s="8">
        <v>0.47</v>
      </c>
      <c r="O71" s="1">
        <v>6700.0</v>
      </c>
      <c r="P71" s="9">
        <v>3000.0</v>
      </c>
      <c r="Q71" s="9">
        <v>1600.0</v>
      </c>
      <c r="R71" s="10"/>
      <c r="S71" s="11">
        <v>45224.0</v>
      </c>
    </row>
    <row r="72" ht="9.0" customHeight="1">
      <c r="A72" s="4" t="s">
        <v>19</v>
      </c>
      <c r="B72" s="14" t="s">
        <v>90</v>
      </c>
      <c r="C72" s="4" t="s">
        <v>90</v>
      </c>
      <c r="D72" s="1" t="s">
        <v>91</v>
      </c>
      <c r="E72" s="4" t="s">
        <v>22</v>
      </c>
      <c r="F72" s="1"/>
      <c r="G72" s="4" t="s">
        <v>109</v>
      </c>
      <c r="H72" s="12" t="s">
        <v>110</v>
      </c>
      <c r="I72" s="12"/>
      <c r="J72" s="6"/>
      <c r="K72" s="6"/>
      <c r="L72" s="6"/>
      <c r="M72" s="1"/>
      <c r="N72" s="8">
        <v>0.47</v>
      </c>
      <c r="O72" s="1">
        <v>10000.0</v>
      </c>
      <c r="P72" s="9">
        <v>3000.0</v>
      </c>
      <c r="Q72" s="9">
        <v>1600.0</v>
      </c>
      <c r="R72" s="10"/>
      <c r="S72" s="11">
        <v>44793.0</v>
      </c>
    </row>
    <row r="73" ht="9.0" customHeight="1">
      <c r="A73" s="4" t="s">
        <v>19</v>
      </c>
      <c r="B73" s="14" t="s">
        <v>90</v>
      </c>
      <c r="C73" s="4" t="s">
        <v>90</v>
      </c>
      <c r="D73" s="1" t="s">
        <v>91</v>
      </c>
      <c r="E73" s="4" t="s">
        <v>22</v>
      </c>
      <c r="F73" s="1"/>
      <c r="G73" s="4" t="s">
        <v>111</v>
      </c>
      <c r="H73" s="12" t="s">
        <v>110</v>
      </c>
      <c r="I73" s="12"/>
      <c r="J73" s="6"/>
      <c r="K73" s="6"/>
      <c r="L73" s="6"/>
      <c r="M73" s="1"/>
      <c r="N73" s="8">
        <v>0.48</v>
      </c>
      <c r="O73" s="1">
        <v>10000.0</v>
      </c>
      <c r="P73" s="9">
        <v>3000.0</v>
      </c>
      <c r="Q73" s="9">
        <v>1600.0</v>
      </c>
      <c r="R73" s="10"/>
      <c r="S73" s="11">
        <v>45244.0</v>
      </c>
    </row>
    <row r="74" ht="9.0" customHeight="1">
      <c r="A74" s="14" t="s">
        <v>19</v>
      </c>
      <c r="B74" s="14" t="s">
        <v>90</v>
      </c>
      <c r="C74" s="15" t="s">
        <v>112</v>
      </c>
      <c r="D74" s="1"/>
      <c r="E74" s="14" t="s">
        <v>22</v>
      </c>
      <c r="F74" s="1"/>
      <c r="G74" s="14" t="s">
        <v>113</v>
      </c>
      <c r="H74" s="15"/>
      <c r="I74" s="15"/>
      <c r="J74" s="6"/>
      <c r="K74" s="6"/>
      <c r="L74" s="16"/>
      <c r="M74" s="1"/>
      <c r="N74" s="17"/>
      <c r="O74" s="1"/>
      <c r="P74" s="18">
        <v>2600.0</v>
      </c>
      <c r="Q74" s="18">
        <v>1400.0</v>
      </c>
      <c r="R74" s="19"/>
      <c r="S74" s="20"/>
    </row>
    <row r="75" ht="9.0" customHeight="1">
      <c r="A75" s="4" t="s">
        <v>19</v>
      </c>
      <c r="B75" s="14" t="s">
        <v>90</v>
      </c>
      <c r="C75" s="4" t="s">
        <v>90</v>
      </c>
      <c r="D75" s="1" t="s">
        <v>114</v>
      </c>
      <c r="E75" s="4" t="s">
        <v>22</v>
      </c>
      <c r="F75" s="1"/>
      <c r="G75" s="4" t="s">
        <v>114</v>
      </c>
      <c r="H75" s="5"/>
      <c r="I75" s="5"/>
      <c r="J75" s="6"/>
      <c r="K75" s="6"/>
      <c r="L75" s="7" t="s">
        <v>23</v>
      </c>
      <c r="M75" s="1"/>
      <c r="N75" s="8">
        <v>0.45</v>
      </c>
      <c r="O75" s="1"/>
      <c r="P75" s="9">
        <v>1300.0</v>
      </c>
      <c r="Q75" s="9">
        <v>750.0</v>
      </c>
      <c r="R75" s="10"/>
      <c r="S75" s="4"/>
    </row>
    <row r="76" ht="9.0" customHeight="1">
      <c r="A76" s="4" t="s">
        <v>19</v>
      </c>
      <c r="B76" s="14" t="s">
        <v>90</v>
      </c>
      <c r="C76" s="4" t="s">
        <v>90</v>
      </c>
      <c r="D76" s="1" t="s">
        <v>114</v>
      </c>
      <c r="E76" s="4" t="s">
        <v>22</v>
      </c>
      <c r="F76" s="1"/>
      <c r="G76" s="4" t="s">
        <v>115</v>
      </c>
      <c r="H76" s="5"/>
      <c r="I76" s="5"/>
      <c r="J76" s="6"/>
      <c r="K76" s="6"/>
      <c r="L76" s="7"/>
      <c r="M76" s="1"/>
      <c r="N76" s="8">
        <v>0.43</v>
      </c>
      <c r="O76" s="1"/>
      <c r="P76" s="9">
        <v>1500.0</v>
      </c>
      <c r="Q76" s="9">
        <v>850.0</v>
      </c>
      <c r="R76" s="10"/>
      <c r="S76" s="4"/>
    </row>
    <row r="77" ht="9.0" customHeight="1">
      <c r="A77" s="4" t="s">
        <v>19</v>
      </c>
      <c r="B77" s="14" t="s">
        <v>90</v>
      </c>
      <c r="C77" s="4" t="s">
        <v>90</v>
      </c>
      <c r="D77" s="1" t="s">
        <v>114</v>
      </c>
      <c r="E77" s="4" t="s">
        <v>22</v>
      </c>
      <c r="F77" s="1"/>
      <c r="G77" s="4" t="s">
        <v>116</v>
      </c>
      <c r="H77" s="5"/>
      <c r="I77" s="5"/>
      <c r="J77" s="6"/>
      <c r="K77" s="6"/>
      <c r="L77" s="7"/>
      <c r="M77" s="1"/>
      <c r="N77" s="8">
        <v>0.45</v>
      </c>
      <c r="O77" s="1"/>
      <c r="P77" s="9">
        <v>2200.0</v>
      </c>
      <c r="Q77" s="9">
        <v>1200.0</v>
      </c>
      <c r="R77" s="10"/>
      <c r="S77" s="11">
        <v>44882.0</v>
      </c>
    </row>
    <row r="78" ht="9.0" customHeight="1">
      <c r="A78" s="4" t="s">
        <v>19</v>
      </c>
      <c r="B78" s="14" t="s">
        <v>90</v>
      </c>
      <c r="C78" s="4" t="s">
        <v>90</v>
      </c>
      <c r="D78" s="1" t="s">
        <v>114</v>
      </c>
      <c r="E78" s="4" t="s">
        <v>22</v>
      </c>
      <c r="F78" s="1"/>
      <c r="G78" s="4" t="s">
        <v>117</v>
      </c>
      <c r="H78" s="5"/>
      <c r="I78" s="5"/>
      <c r="J78" s="6"/>
      <c r="K78" s="6"/>
      <c r="L78" s="7"/>
      <c r="M78" s="1"/>
      <c r="N78" s="8">
        <v>0.45</v>
      </c>
      <c r="O78" s="1"/>
      <c r="P78" s="9">
        <v>2600.0</v>
      </c>
      <c r="Q78" s="9">
        <v>1400.0</v>
      </c>
      <c r="R78" s="10"/>
      <c r="S78" s="11">
        <v>44893.0</v>
      </c>
    </row>
    <row r="79" ht="9.0" customHeight="1">
      <c r="A79" s="4" t="s">
        <v>19</v>
      </c>
      <c r="B79" s="14" t="s">
        <v>90</v>
      </c>
      <c r="C79" s="4" t="s">
        <v>90</v>
      </c>
      <c r="D79" s="1" t="s">
        <v>114</v>
      </c>
      <c r="E79" s="4" t="s">
        <v>22</v>
      </c>
      <c r="F79" s="1"/>
      <c r="G79" s="4" t="s">
        <v>118</v>
      </c>
      <c r="H79" s="5"/>
      <c r="I79" s="5"/>
      <c r="J79" s="6"/>
      <c r="K79" s="6"/>
      <c r="L79" s="7"/>
      <c r="M79" s="1"/>
      <c r="N79" s="8">
        <v>0.45</v>
      </c>
      <c r="O79" s="1"/>
      <c r="P79" s="9">
        <v>4000.0</v>
      </c>
      <c r="Q79" s="9">
        <v>2200.0</v>
      </c>
      <c r="R79" s="10"/>
      <c r="S79" s="11">
        <v>45303.0</v>
      </c>
    </row>
    <row r="80" ht="9.0" customHeight="1">
      <c r="A80" s="4" t="s">
        <v>19</v>
      </c>
      <c r="B80" s="14" t="s">
        <v>90</v>
      </c>
      <c r="C80" s="4" t="s">
        <v>90</v>
      </c>
      <c r="D80" s="1" t="s">
        <v>114</v>
      </c>
      <c r="E80" s="4" t="s">
        <v>22</v>
      </c>
      <c r="F80" s="1"/>
      <c r="G80" s="4" t="s">
        <v>119</v>
      </c>
      <c r="H80" s="5" t="s">
        <v>48</v>
      </c>
      <c r="I80" s="5"/>
      <c r="J80" s="6"/>
      <c r="K80" s="6"/>
      <c r="L80" s="7" t="s">
        <v>23</v>
      </c>
      <c r="M80" s="1"/>
      <c r="N80" s="8">
        <v>0.48</v>
      </c>
      <c r="O80" s="1"/>
      <c r="P80" s="9">
        <v>2200.0</v>
      </c>
      <c r="Q80" s="9">
        <v>1200.0</v>
      </c>
      <c r="R80" s="10"/>
      <c r="S80" s="11">
        <v>44971.0</v>
      </c>
    </row>
    <row r="81" ht="9.0" customHeight="1">
      <c r="A81" s="4" t="s">
        <v>19</v>
      </c>
      <c r="B81" s="14" t="s">
        <v>90</v>
      </c>
      <c r="C81" s="4" t="s">
        <v>90</v>
      </c>
      <c r="D81" s="1" t="s">
        <v>114</v>
      </c>
      <c r="E81" s="4" t="s">
        <v>22</v>
      </c>
      <c r="F81" s="1"/>
      <c r="G81" s="4" t="s">
        <v>120</v>
      </c>
      <c r="H81" s="5" t="s">
        <v>30</v>
      </c>
      <c r="I81" s="5"/>
      <c r="J81" s="6"/>
      <c r="K81" s="6"/>
      <c r="L81" s="7"/>
      <c r="M81" s="1"/>
      <c r="N81" s="8">
        <v>0.57</v>
      </c>
      <c r="O81" s="1"/>
      <c r="P81" s="9">
        <v>2600.0</v>
      </c>
      <c r="Q81" s="9">
        <v>1400.0</v>
      </c>
      <c r="R81" s="10"/>
      <c r="S81" s="11">
        <v>45267.0</v>
      </c>
    </row>
    <row r="82" ht="9.0" customHeight="1">
      <c r="A82" s="4" t="s">
        <v>19</v>
      </c>
      <c r="B82" s="14" t="s">
        <v>90</v>
      </c>
      <c r="C82" s="4" t="s">
        <v>90</v>
      </c>
      <c r="D82" s="1" t="s">
        <v>114</v>
      </c>
      <c r="E82" s="4" t="s">
        <v>22</v>
      </c>
      <c r="F82" s="1"/>
      <c r="G82" s="4" t="s">
        <v>121</v>
      </c>
      <c r="H82" s="5" t="s">
        <v>30</v>
      </c>
      <c r="I82" s="5"/>
      <c r="J82" s="6"/>
      <c r="K82" s="6"/>
      <c r="L82" s="7" t="s">
        <v>23</v>
      </c>
      <c r="M82" s="1"/>
      <c r="N82" s="8">
        <v>0.55</v>
      </c>
      <c r="O82" s="1"/>
      <c r="P82" s="9">
        <v>2000.0</v>
      </c>
      <c r="Q82" s="9">
        <v>1100.0</v>
      </c>
      <c r="R82" s="10"/>
      <c r="S82" s="11">
        <v>45304.0</v>
      </c>
    </row>
    <row r="83" ht="9.0" customHeight="1">
      <c r="A83" s="4" t="s">
        <v>19</v>
      </c>
      <c r="B83" s="14" t="s">
        <v>90</v>
      </c>
      <c r="C83" s="4" t="s">
        <v>90</v>
      </c>
      <c r="D83" s="1" t="s">
        <v>114</v>
      </c>
      <c r="E83" s="4" t="s">
        <v>22</v>
      </c>
      <c r="F83" s="1"/>
      <c r="G83" s="4" t="s">
        <v>122</v>
      </c>
      <c r="H83" s="5" t="s">
        <v>30</v>
      </c>
      <c r="I83" s="5"/>
      <c r="J83" s="6"/>
      <c r="K83" s="6"/>
      <c r="L83" s="7" t="s">
        <v>23</v>
      </c>
      <c r="M83" s="1"/>
      <c r="N83" s="8">
        <v>0.55</v>
      </c>
      <c r="O83" s="1"/>
      <c r="P83" s="9">
        <v>2000.0</v>
      </c>
      <c r="Q83" s="9">
        <v>1100.0</v>
      </c>
      <c r="R83" s="10"/>
      <c r="S83" s="11">
        <v>45307.0</v>
      </c>
    </row>
    <row r="84" ht="9.0" customHeight="1">
      <c r="A84" s="4" t="s">
        <v>19</v>
      </c>
      <c r="B84" s="14" t="s">
        <v>90</v>
      </c>
      <c r="C84" s="4" t="s">
        <v>90</v>
      </c>
      <c r="D84" s="1" t="s">
        <v>114</v>
      </c>
      <c r="E84" s="4" t="s">
        <v>22</v>
      </c>
      <c r="F84" s="1"/>
      <c r="G84" s="4" t="s">
        <v>123</v>
      </c>
      <c r="H84" s="5" t="s">
        <v>30</v>
      </c>
      <c r="I84" s="5"/>
      <c r="J84" s="6"/>
      <c r="K84" s="6"/>
      <c r="L84" s="7"/>
      <c r="M84" s="1"/>
      <c r="N84" s="8">
        <v>0.55</v>
      </c>
      <c r="O84" s="1"/>
      <c r="P84" s="9">
        <v>3000.0</v>
      </c>
      <c r="Q84" s="9">
        <v>1600.0</v>
      </c>
      <c r="R84" s="10"/>
      <c r="S84" s="11">
        <v>45339.0</v>
      </c>
    </row>
    <row r="85" ht="9.0" customHeight="1">
      <c r="A85" s="4" t="s">
        <v>19</v>
      </c>
      <c r="B85" s="14" t="s">
        <v>90</v>
      </c>
      <c r="C85" s="4" t="s">
        <v>90</v>
      </c>
      <c r="D85" s="1" t="s">
        <v>114</v>
      </c>
      <c r="E85" s="4" t="s">
        <v>22</v>
      </c>
      <c r="F85" s="1"/>
      <c r="G85" s="4" t="s">
        <v>124</v>
      </c>
      <c r="H85" s="5" t="s">
        <v>30</v>
      </c>
      <c r="I85" s="5"/>
      <c r="J85" s="6"/>
      <c r="K85" s="6"/>
      <c r="L85" s="7" t="s">
        <v>23</v>
      </c>
      <c r="M85" s="1"/>
      <c r="N85" s="8">
        <v>0.55</v>
      </c>
      <c r="O85" s="1"/>
      <c r="P85" s="9">
        <v>2000.0</v>
      </c>
      <c r="Q85" s="9">
        <v>1100.0</v>
      </c>
      <c r="R85" s="10"/>
      <c r="S85" s="11">
        <v>45308.0</v>
      </c>
    </row>
    <row r="86" ht="9.0" customHeight="1">
      <c r="A86" s="4" t="s">
        <v>19</v>
      </c>
      <c r="B86" s="14" t="s">
        <v>90</v>
      </c>
      <c r="C86" s="4" t="s">
        <v>90</v>
      </c>
      <c r="D86" s="1" t="s">
        <v>114</v>
      </c>
      <c r="E86" s="4" t="s">
        <v>22</v>
      </c>
      <c r="F86" s="1"/>
      <c r="G86" s="4" t="s">
        <v>125</v>
      </c>
      <c r="H86" s="5" t="s">
        <v>30</v>
      </c>
      <c r="I86" s="5"/>
      <c r="J86" s="6"/>
      <c r="K86" s="6"/>
      <c r="L86" s="7"/>
      <c r="M86" s="1"/>
      <c r="N86" s="8">
        <v>0.55</v>
      </c>
      <c r="O86" s="1"/>
      <c r="P86" s="9">
        <v>2600.0</v>
      </c>
      <c r="Q86" s="9">
        <v>1400.0</v>
      </c>
      <c r="R86" s="10"/>
      <c r="S86" s="11">
        <v>45329.0</v>
      </c>
    </row>
    <row r="87" ht="9.0" customHeight="1">
      <c r="A87" s="4" t="s">
        <v>19</v>
      </c>
      <c r="B87" s="14" t="s">
        <v>90</v>
      </c>
      <c r="C87" s="4" t="s">
        <v>90</v>
      </c>
      <c r="D87" s="1" t="s">
        <v>114</v>
      </c>
      <c r="E87" s="4" t="s">
        <v>22</v>
      </c>
      <c r="F87" s="1"/>
      <c r="G87" s="4" t="s">
        <v>126</v>
      </c>
      <c r="H87" s="5"/>
      <c r="I87" s="5"/>
      <c r="J87" s="6"/>
      <c r="K87" s="6"/>
      <c r="L87" s="7"/>
      <c r="M87" s="1"/>
      <c r="N87" s="8">
        <v>0.46</v>
      </c>
      <c r="O87" s="1">
        <v>3500.0</v>
      </c>
      <c r="P87" s="9">
        <v>3000.0</v>
      </c>
      <c r="Q87" s="9">
        <v>1600.0</v>
      </c>
      <c r="R87" s="10"/>
      <c r="S87" s="11">
        <v>45216.0</v>
      </c>
    </row>
    <row r="88" ht="9.0" customHeight="1">
      <c r="A88" s="4" t="s">
        <v>19</v>
      </c>
      <c r="B88" s="14" t="s">
        <v>90</v>
      </c>
      <c r="C88" s="4" t="s">
        <v>90</v>
      </c>
      <c r="D88" s="1" t="s">
        <v>114</v>
      </c>
      <c r="E88" s="4" t="s">
        <v>22</v>
      </c>
      <c r="F88" s="1"/>
      <c r="G88" s="4" t="s">
        <v>127</v>
      </c>
      <c r="H88" s="5"/>
      <c r="I88" s="5"/>
      <c r="J88" s="6"/>
      <c r="K88" s="6"/>
      <c r="L88" s="7"/>
      <c r="M88" s="1"/>
      <c r="N88" s="8">
        <v>0.48</v>
      </c>
      <c r="O88" s="1">
        <v>4000.0</v>
      </c>
      <c r="P88" s="9">
        <v>3000.0</v>
      </c>
      <c r="Q88" s="9">
        <v>1600.0</v>
      </c>
      <c r="R88" s="10"/>
      <c r="S88" s="21">
        <v>45220.0</v>
      </c>
    </row>
    <row r="89" ht="9.0" customHeight="1">
      <c r="A89" s="4" t="s">
        <v>19</v>
      </c>
      <c r="B89" s="14" t="s">
        <v>90</v>
      </c>
      <c r="C89" s="4" t="s">
        <v>90</v>
      </c>
      <c r="D89" s="1" t="s">
        <v>114</v>
      </c>
      <c r="E89" s="4" t="s">
        <v>22</v>
      </c>
      <c r="F89" s="1"/>
      <c r="G89" s="4" t="s">
        <v>128</v>
      </c>
      <c r="H89" s="5"/>
      <c r="I89" s="5"/>
      <c r="J89" s="6"/>
      <c r="K89" s="6"/>
      <c r="L89" s="7"/>
      <c r="M89" s="1"/>
      <c r="N89" s="8">
        <v>0.47</v>
      </c>
      <c r="O89" s="1">
        <v>6450.0</v>
      </c>
      <c r="P89" s="9">
        <v>3000.0</v>
      </c>
      <c r="Q89" s="9">
        <v>1600.0</v>
      </c>
      <c r="R89" s="10"/>
      <c r="S89" s="11">
        <v>45225.0</v>
      </c>
    </row>
    <row r="90" ht="9.0" customHeight="1">
      <c r="A90" s="4" t="s">
        <v>19</v>
      </c>
      <c r="B90" s="14" t="s">
        <v>90</v>
      </c>
      <c r="C90" s="4" t="s">
        <v>90</v>
      </c>
      <c r="D90" s="1" t="s">
        <v>114</v>
      </c>
      <c r="E90" s="4" t="s">
        <v>22</v>
      </c>
      <c r="F90" s="1"/>
      <c r="G90" s="4" t="s">
        <v>129</v>
      </c>
      <c r="H90" s="12" t="s">
        <v>110</v>
      </c>
      <c r="I90" s="12"/>
      <c r="J90" s="6"/>
      <c r="K90" s="6"/>
      <c r="L90" s="6"/>
      <c r="M90" s="1"/>
      <c r="N90" s="8">
        <v>0.48</v>
      </c>
      <c r="O90" s="1">
        <v>10000.0</v>
      </c>
      <c r="P90" s="9">
        <v>3000.0</v>
      </c>
      <c r="Q90" s="9">
        <v>1600.0</v>
      </c>
      <c r="R90" s="10"/>
      <c r="S90" s="11">
        <v>44789.0</v>
      </c>
    </row>
    <row r="91" ht="9.0" customHeight="1">
      <c r="A91" s="4" t="s">
        <v>19</v>
      </c>
      <c r="B91" s="14" t="s">
        <v>90</v>
      </c>
      <c r="C91" s="4" t="s">
        <v>90</v>
      </c>
      <c r="D91" s="1" t="s">
        <v>114</v>
      </c>
      <c r="E91" s="4" t="s">
        <v>22</v>
      </c>
      <c r="F91" s="1"/>
      <c r="G91" s="4" t="s">
        <v>130</v>
      </c>
      <c r="H91" s="12" t="s">
        <v>110</v>
      </c>
      <c r="I91" s="12"/>
      <c r="J91" s="6"/>
      <c r="K91" s="6"/>
      <c r="L91" s="6"/>
      <c r="M91" s="1"/>
      <c r="N91" s="8">
        <v>0.47</v>
      </c>
      <c r="O91" s="1">
        <v>10000.0</v>
      </c>
      <c r="P91" s="9">
        <v>3000.0</v>
      </c>
      <c r="Q91" s="9">
        <v>1600.0</v>
      </c>
      <c r="R91" s="10"/>
      <c r="S91" s="11">
        <v>45245.0</v>
      </c>
    </row>
    <row r="92" ht="9.0" customHeight="1">
      <c r="A92" s="4" t="s">
        <v>19</v>
      </c>
      <c r="B92" s="14" t="s">
        <v>90</v>
      </c>
      <c r="C92" s="4" t="s">
        <v>90</v>
      </c>
      <c r="D92" s="1" t="s">
        <v>114</v>
      </c>
      <c r="E92" s="4" t="s">
        <v>22</v>
      </c>
      <c r="F92" s="1"/>
      <c r="G92" s="4" t="s">
        <v>131</v>
      </c>
      <c r="H92" s="5"/>
      <c r="I92" s="5"/>
      <c r="J92" s="6"/>
      <c r="K92" s="6"/>
      <c r="L92" s="7"/>
      <c r="M92" s="1"/>
      <c r="N92" s="8">
        <v>0.45</v>
      </c>
      <c r="O92" s="1"/>
      <c r="P92" s="9">
        <v>3000.0</v>
      </c>
      <c r="Q92" s="9">
        <v>1600.0</v>
      </c>
      <c r="R92" s="10"/>
      <c r="S92" s="11">
        <v>45332.0</v>
      </c>
    </row>
    <row r="93" ht="9.0" customHeight="1">
      <c r="A93" s="4" t="s">
        <v>19</v>
      </c>
      <c r="B93" s="14" t="s">
        <v>90</v>
      </c>
      <c r="C93" s="4" t="s">
        <v>90</v>
      </c>
      <c r="D93" s="1"/>
      <c r="E93" s="5" t="s">
        <v>38</v>
      </c>
      <c r="F93" s="1"/>
      <c r="G93" s="4" t="s">
        <v>132</v>
      </c>
      <c r="H93" s="5"/>
      <c r="I93" s="5"/>
      <c r="J93" s="6"/>
      <c r="K93" s="6"/>
      <c r="L93" s="7" t="s">
        <v>23</v>
      </c>
      <c r="M93" s="1"/>
      <c r="N93" s="8">
        <v>0.43</v>
      </c>
      <c r="O93" s="1"/>
      <c r="P93" s="9">
        <v>1300.0</v>
      </c>
      <c r="Q93" s="9">
        <v>750.0</v>
      </c>
      <c r="R93" s="10"/>
      <c r="S93" s="11">
        <v>45174.0</v>
      </c>
    </row>
    <row r="94" ht="9.0" customHeight="1">
      <c r="A94" s="4" t="s">
        <v>19</v>
      </c>
      <c r="B94" s="14" t="s">
        <v>90</v>
      </c>
      <c r="C94" s="4" t="s">
        <v>90</v>
      </c>
      <c r="D94" s="1"/>
      <c r="E94" s="5" t="s">
        <v>38</v>
      </c>
      <c r="F94" s="1"/>
      <c r="G94" s="4" t="s">
        <v>133</v>
      </c>
      <c r="H94" s="5"/>
      <c r="I94" s="5"/>
      <c r="J94" s="6"/>
      <c r="K94" s="6"/>
      <c r="L94" s="7"/>
      <c r="M94" s="1"/>
      <c r="N94" s="8">
        <v>0.43</v>
      </c>
      <c r="O94" s="1"/>
      <c r="P94" s="9">
        <v>1600.0</v>
      </c>
      <c r="Q94" s="9">
        <v>900.0</v>
      </c>
      <c r="R94" s="10"/>
      <c r="S94" s="4"/>
    </row>
    <row r="95" ht="9.0" customHeight="1">
      <c r="A95" s="4" t="s">
        <v>19</v>
      </c>
      <c r="B95" s="14" t="s">
        <v>90</v>
      </c>
      <c r="C95" s="4" t="s">
        <v>90</v>
      </c>
      <c r="D95" s="1"/>
      <c r="E95" s="5" t="s">
        <v>38</v>
      </c>
      <c r="F95" s="1"/>
      <c r="G95" s="4" t="s">
        <v>134</v>
      </c>
      <c r="H95" s="5"/>
      <c r="I95" s="5"/>
      <c r="J95" s="6"/>
      <c r="K95" s="6"/>
      <c r="L95" s="7"/>
      <c r="M95" s="1"/>
      <c r="N95" s="8">
        <v>0.4</v>
      </c>
      <c r="O95" s="1"/>
      <c r="P95" s="9">
        <v>3000.0</v>
      </c>
      <c r="Q95" s="9">
        <v>1600.0</v>
      </c>
      <c r="R95" s="10"/>
      <c r="S95" s="11">
        <v>45178.0</v>
      </c>
    </row>
    <row r="96" ht="9.0" customHeight="1">
      <c r="A96" s="4" t="s">
        <v>19</v>
      </c>
      <c r="B96" s="14" t="s">
        <v>90</v>
      </c>
      <c r="C96" s="4" t="s">
        <v>90</v>
      </c>
      <c r="D96" s="1"/>
      <c r="E96" s="5" t="s">
        <v>38</v>
      </c>
      <c r="F96" s="1"/>
      <c r="G96" s="4" t="s">
        <v>135</v>
      </c>
      <c r="H96" s="5"/>
      <c r="I96" s="5"/>
      <c r="J96" s="6"/>
      <c r="K96" s="6"/>
      <c r="L96" s="7"/>
      <c r="M96" s="1"/>
      <c r="N96" s="8">
        <v>0.43</v>
      </c>
      <c r="O96" s="1"/>
      <c r="P96" s="9">
        <v>4000.0</v>
      </c>
      <c r="Q96" s="9">
        <v>2200.0</v>
      </c>
      <c r="R96" s="10"/>
      <c r="S96" s="11">
        <v>45175.0</v>
      </c>
    </row>
    <row r="97" ht="9.0" customHeight="1">
      <c r="A97" s="4" t="s">
        <v>19</v>
      </c>
      <c r="B97" s="14" t="s">
        <v>90</v>
      </c>
      <c r="C97" s="4" t="s">
        <v>90</v>
      </c>
      <c r="D97" s="1"/>
      <c r="E97" s="5" t="s">
        <v>38</v>
      </c>
      <c r="F97" s="1"/>
      <c r="G97" s="4" t="s">
        <v>136</v>
      </c>
      <c r="H97" s="5"/>
      <c r="I97" s="5"/>
      <c r="J97" s="6"/>
      <c r="K97" s="6"/>
      <c r="L97" s="7"/>
      <c r="M97" s="1"/>
      <c r="N97" s="8">
        <v>0.43</v>
      </c>
      <c r="O97" s="1"/>
      <c r="P97" s="9"/>
      <c r="Q97" s="9"/>
      <c r="R97" s="10">
        <v>2200.0</v>
      </c>
      <c r="S97" s="11">
        <v>45177.0</v>
      </c>
    </row>
    <row r="98" ht="9.0" customHeight="1">
      <c r="A98" s="4" t="s">
        <v>19</v>
      </c>
      <c r="B98" s="14" t="s">
        <v>90</v>
      </c>
      <c r="C98" s="4" t="s">
        <v>90</v>
      </c>
      <c r="D98" s="1"/>
      <c r="E98" s="5" t="s">
        <v>38</v>
      </c>
      <c r="F98" s="1"/>
      <c r="G98" s="4" t="s">
        <v>137</v>
      </c>
      <c r="H98" s="5" t="s">
        <v>138</v>
      </c>
      <c r="I98" s="5"/>
      <c r="J98" s="6"/>
      <c r="K98" s="6"/>
      <c r="L98" s="7"/>
      <c r="M98" s="1"/>
      <c r="N98" s="8">
        <v>0.48</v>
      </c>
      <c r="O98" s="1">
        <v>3000.0</v>
      </c>
      <c r="P98" s="9"/>
      <c r="Q98" s="9"/>
      <c r="R98" s="10">
        <v>2500.0</v>
      </c>
      <c r="S98" s="11">
        <v>45007.0</v>
      </c>
    </row>
    <row r="99" ht="9.0" customHeight="1">
      <c r="A99" s="4" t="s">
        <v>19</v>
      </c>
      <c r="B99" s="14" t="s">
        <v>90</v>
      </c>
      <c r="C99" s="4" t="s">
        <v>90</v>
      </c>
      <c r="D99" s="1"/>
      <c r="E99" s="5" t="s">
        <v>38</v>
      </c>
      <c r="F99" s="1"/>
      <c r="G99" s="4" t="s">
        <v>139</v>
      </c>
      <c r="H99" s="5"/>
      <c r="I99" s="5"/>
      <c r="J99" s="6"/>
      <c r="K99" s="6"/>
      <c r="L99" s="7"/>
      <c r="M99" s="1"/>
      <c r="N99" s="8">
        <v>0.43</v>
      </c>
      <c r="O99" s="1"/>
      <c r="P99" s="9"/>
      <c r="Q99" s="9"/>
      <c r="R99" s="10">
        <v>8200.0</v>
      </c>
      <c r="S99" s="11">
        <v>44901.0</v>
      </c>
    </row>
    <row r="100" ht="9.0" customHeight="1">
      <c r="A100" s="4" t="s">
        <v>19</v>
      </c>
      <c r="B100" s="14" t="s">
        <v>90</v>
      </c>
      <c r="C100" s="4" t="s">
        <v>90</v>
      </c>
      <c r="D100" s="1"/>
      <c r="E100" s="5" t="s">
        <v>38</v>
      </c>
      <c r="F100" s="1"/>
      <c r="G100" s="4" t="s">
        <v>140</v>
      </c>
      <c r="H100" s="5" t="s">
        <v>30</v>
      </c>
      <c r="I100" s="5"/>
      <c r="J100" s="6"/>
      <c r="K100" s="6"/>
      <c r="L100" s="7" t="s">
        <v>23</v>
      </c>
      <c r="M100" s="1"/>
      <c r="N100" s="8">
        <v>0.43</v>
      </c>
      <c r="O100" s="1"/>
      <c r="P100" s="9">
        <v>1400.0</v>
      </c>
      <c r="Q100" s="9">
        <v>800.0</v>
      </c>
      <c r="R100" s="10"/>
      <c r="S100" s="11">
        <v>45617.0</v>
      </c>
    </row>
    <row r="101" ht="9.0" customHeight="1">
      <c r="A101" s="4" t="s">
        <v>19</v>
      </c>
      <c r="B101" s="14" t="s">
        <v>90</v>
      </c>
      <c r="C101" s="4" t="s">
        <v>90</v>
      </c>
      <c r="D101" s="1"/>
      <c r="E101" s="5" t="s">
        <v>38</v>
      </c>
      <c r="F101" s="1"/>
      <c r="G101" s="4" t="s">
        <v>141</v>
      </c>
      <c r="H101" s="5" t="s">
        <v>30</v>
      </c>
      <c r="I101" s="5"/>
      <c r="J101" s="6"/>
      <c r="K101" s="6"/>
      <c r="L101" s="7" t="s">
        <v>23</v>
      </c>
      <c r="M101" s="1"/>
      <c r="N101" s="8">
        <v>0.43</v>
      </c>
      <c r="O101" s="1"/>
      <c r="P101" s="9">
        <v>1400.0</v>
      </c>
      <c r="Q101" s="9">
        <v>800.0</v>
      </c>
      <c r="R101" s="10"/>
      <c r="S101" s="11">
        <v>45619.0</v>
      </c>
    </row>
    <row r="102" ht="9.0" customHeight="1">
      <c r="A102" s="4" t="s">
        <v>19</v>
      </c>
      <c r="B102" s="14" t="s">
        <v>90</v>
      </c>
      <c r="C102" s="4" t="s">
        <v>90</v>
      </c>
      <c r="D102" s="1"/>
      <c r="E102" s="5" t="s">
        <v>38</v>
      </c>
      <c r="F102" s="1"/>
      <c r="G102" s="4" t="s">
        <v>142</v>
      </c>
      <c r="H102" s="5"/>
      <c r="I102" s="5"/>
      <c r="J102" s="6"/>
      <c r="K102" s="6"/>
      <c r="L102" s="7" t="s">
        <v>23</v>
      </c>
      <c r="M102" s="1"/>
      <c r="N102" s="8">
        <v>0.43</v>
      </c>
      <c r="O102" s="1"/>
      <c r="P102" s="9">
        <v>1100.0</v>
      </c>
      <c r="Q102" s="9">
        <v>650.0</v>
      </c>
      <c r="R102" s="10"/>
      <c r="S102" s="4"/>
    </row>
    <row r="103" ht="9.0" customHeight="1">
      <c r="A103" s="4" t="s">
        <v>19</v>
      </c>
      <c r="B103" s="14" t="s">
        <v>90</v>
      </c>
      <c r="C103" s="4" t="s">
        <v>90</v>
      </c>
      <c r="D103" s="1" t="s">
        <v>114</v>
      </c>
      <c r="E103" s="4" t="s">
        <v>143</v>
      </c>
      <c r="F103" s="1"/>
      <c r="G103" s="4" t="s">
        <v>144</v>
      </c>
      <c r="H103" s="5"/>
      <c r="I103" s="5"/>
      <c r="J103" s="6"/>
      <c r="K103" s="6"/>
      <c r="L103" s="7" t="s">
        <v>23</v>
      </c>
      <c r="M103" s="1"/>
      <c r="N103" s="8">
        <v>0.45</v>
      </c>
      <c r="O103" s="1"/>
      <c r="P103" s="9">
        <v>1200.0</v>
      </c>
      <c r="Q103" s="9">
        <v>700.0</v>
      </c>
      <c r="R103" s="10"/>
      <c r="S103" s="11">
        <v>45336.0</v>
      </c>
    </row>
    <row r="104" ht="9.0" customHeight="1">
      <c r="A104" s="4" t="s">
        <v>19</v>
      </c>
      <c r="B104" s="14" t="s">
        <v>90</v>
      </c>
      <c r="C104" s="4" t="s">
        <v>90</v>
      </c>
      <c r="D104" s="1"/>
      <c r="E104" s="4" t="s">
        <v>143</v>
      </c>
      <c r="F104" s="1"/>
      <c r="G104" s="4" t="s">
        <v>145</v>
      </c>
      <c r="H104" s="5"/>
      <c r="I104" s="5"/>
      <c r="J104" s="6"/>
      <c r="K104" s="6"/>
      <c r="L104" s="7"/>
      <c r="M104" s="1"/>
      <c r="N104" s="8">
        <v>0.4</v>
      </c>
      <c r="O104" s="1"/>
      <c r="P104" s="9">
        <v>1100.0</v>
      </c>
      <c r="Q104" s="9">
        <v>650.0</v>
      </c>
      <c r="R104" s="10"/>
      <c r="S104" s="11">
        <v>45541.0</v>
      </c>
    </row>
    <row r="105" ht="9.0" customHeight="1">
      <c r="A105" s="4" t="s">
        <v>19</v>
      </c>
      <c r="B105" s="14" t="s">
        <v>90</v>
      </c>
      <c r="C105" s="4" t="s">
        <v>90</v>
      </c>
      <c r="D105" s="1" t="s">
        <v>114</v>
      </c>
      <c r="E105" s="5" t="s">
        <v>41</v>
      </c>
      <c r="F105" s="1"/>
      <c r="G105" s="4" t="s">
        <v>146</v>
      </c>
      <c r="H105" s="5"/>
      <c r="I105" s="5"/>
      <c r="J105" s="6"/>
      <c r="K105" s="6"/>
      <c r="L105" s="7" t="s">
        <v>23</v>
      </c>
      <c r="M105" s="1"/>
      <c r="N105" s="8">
        <v>0.45</v>
      </c>
      <c r="O105" s="1"/>
      <c r="P105" s="9">
        <v>1200.0</v>
      </c>
      <c r="Q105" s="9">
        <v>700.0</v>
      </c>
      <c r="R105" s="10"/>
      <c r="S105" s="11">
        <v>45335.0</v>
      </c>
    </row>
    <row r="106" ht="9.0" customHeight="1">
      <c r="A106" s="4" t="s">
        <v>19</v>
      </c>
      <c r="B106" s="14" t="s">
        <v>90</v>
      </c>
      <c r="C106" s="4" t="s">
        <v>90</v>
      </c>
      <c r="D106" s="1" t="s">
        <v>114</v>
      </c>
      <c r="E106" s="5" t="s">
        <v>41</v>
      </c>
      <c r="F106" s="1"/>
      <c r="G106" s="4" t="s">
        <v>147</v>
      </c>
      <c r="H106" s="5" t="s">
        <v>30</v>
      </c>
      <c r="I106" s="5"/>
      <c r="J106" s="6"/>
      <c r="K106" s="6"/>
      <c r="L106" s="7" t="s">
        <v>23</v>
      </c>
      <c r="M106" s="1"/>
      <c r="N106" s="8">
        <v>0.55</v>
      </c>
      <c r="O106" s="1"/>
      <c r="P106" s="9">
        <v>2000.0</v>
      </c>
      <c r="Q106" s="9">
        <v>1100.0</v>
      </c>
      <c r="R106" s="10"/>
      <c r="S106" s="11">
        <v>45344.0</v>
      </c>
    </row>
    <row r="107" ht="9.0" customHeight="1">
      <c r="A107" s="4" t="s">
        <v>19</v>
      </c>
      <c r="B107" s="14" t="s">
        <v>90</v>
      </c>
      <c r="C107" s="4" t="s">
        <v>90</v>
      </c>
      <c r="D107" s="1" t="s">
        <v>114</v>
      </c>
      <c r="E107" s="5" t="s">
        <v>41</v>
      </c>
      <c r="F107" s="1"/>
      <c r="G107" s="4" t="s">
        <v>148</v>
      </c>
      <c r="H107" s="5" t="s">
        <v>30</v>
      </c>
      <c r="I107" s="5"/>
      <c r="J107" s="6"/>
      <c r="K107" s="6"/>
      <c r="L107" s="7"/>
      <c r="M107" s="1"/>
      <c r="N107" s="8">
        <v>0.55</v>
      </c>
      <c r="O107" s="1"/>
      <c r="P107" s="9">
        <v>2600.0</v>
      </c>
      <c r="Q107" s="9">
        <v>1400.0</v>
      </c>
      <c r="R107" s="10"/>
      <c r="S107" s="11">
        <v>45345.0</v>
      </c>
    </row>
    <row r="108" ht="9.0" customHeight="1">
      <c r="A108" s="4" t="s">
        <v>19</v>
      </c>
      <c r="B108" s="14" t="s">
        <v>90</v>
      </c>
      <c r="C108" s="4" t="s">
        <v>90</v>
      </c>
      <c r="D108" s="1"/>
      <c r="E108" s="12" t="s">
        <v>149</v>
      </c>
      <c r="F108" s="1"/>
      <c r="G108" s="4" t="s">
        <v>150</v>
      </c>
      <c r="H108" s="12" t="s">
        <v>110</v>
      </c>
      <c r="I108" s="12"/>
      <c r="J108" s="6"/>
      <c r="K108" s="6"/>
      <c r="L108" s="6"/>
      <c r="M108" s="1"/>
      <c r="N108" s="8">
        <v>0.48</v>
      </c>
      <c r="O108" s="1">
        <v>10000.0</v>
      </c>
      <c r="P108" s="9">
        <v>2600.0</v>
      </c>
      <c r="Q108" s="9">
        <v>1400.0</v>
      </c>
      <c r="R108" s="10"/>
      <c r="S108" s="11">
        <v>45024.0</v>
      </c>
    </row>
    <row r="109" ht="9.0" customHeight="1">
      <c r="A109" s="4" t="s">
        <v>19</v>
      </c>
      <c r="B109" s="14" t="s">
        <v>90</v>
      </c>
      <c r="C109" s="4" t="s">
        <v>90</v>
      </c>
      <c r="D109" s="1"/>
      <c r="E109" s="4" t="s">
        <v>44</v>
      </c>
      <c r="F109" s="1"/>
      <c r="G109" s="4" t="s">
        <v>151</v>
      </c>
      <c r="H109" s="5"/>
      <c r="I109" s="5"/>
      <c r="J109" s="6"/>
      <c r="K109" s="6"/>
      <c r="L109" s="7" t="s">
        <v>23</v>
      </c>
      <c r="M109" s="1"/>
      <c r="N109" s="8">
        <v>0.43</v>
      </c>
      <c r="O109" s="1"/>
      <c r="P109" s="9">
        <v>1600.0</v>
      </c>
      <c r="Q109" s="9">
        <v>900.0</v>
      </c>
      <c r="R109" s="10"/>
      <c r="S109" s="11">
        <v>45416.0</v>
      </c>
    </row>
    <row r="110" ht="9.0" customHeight="1">
      <c r="A110" s="4" t="s">
        <v>19</v>
      </c>
      <c r="B110" s="14" t="s">
        <v>90</v>
      </c>
      <c r="C110" s="4" t="s">
        <v>90</v>
      </c>
      <c r="D110" s="1"/>
      <c r="E110" s="4" t="s">
        <v>44</v>
      </c>
      <c r="F110" s="1"/>
      <c r="G110" s="4" t="s">
        <v>152</v>
      </c>
      <c r="H110" s="5"/>
      <c r="I110" s="5"/>
      <c r="J110" s="6"/>
      <c r="K110" s="6"/>
      <c r="L110" s="7"/>
      <c r="M110" s="1"/>
      <c r="N110" s="8">
        <v>0.43</v>
      </c>
      <c r="O110" s="1"/>
      <c r="P110" s="9">
        <v>2200.0</v>
      </c>
      <c r="Q110" s="9">
        <v>1200.0</v>
      </c>
      <c r="R110" s="10"/>
      <c r="S110" s="11">
        <v>45419.0</v>
      </c>
    </row>
    <row r="111" ht="9.0" customHeight="1">
      <c r="A111" s="4" t="s">
        <v>19</v>
      </c>
      <c r="B111" s="14" t="s">
        <v>90</v>
      </c>
      <c r="C111" s="4" t="s">
        <v>90</v>
      </c>
      <c r="D111" s="1"/>
      <c r="E111" s="4" t="s">
        <v>44</v>
      </c>
      <c r="F111" s="1"/>
      <c r="G111" s="4" t="s">
        <v>153</v>
      </c>
      <c r="H111" s="5" t="s">
        <v>30</v>
      </c>
      <c r="I111" s="5"/>
      <c r="J111" s="6"/>
      <c r="K111" s="6"/>
      <c r="L111" s="7" t="s">
        <v>23</v>
      </c>
      <c r="M111" s="1"/>
      <c r="N111" s="8">
        <v>0.43</v>
      </c>
      <c r="O111" s="1"/>
      <c r="P111" s="9">
        <v>3000.0</v>
      </c>
      <c r="Q111" s="9">
        <v>1600.0</v>
      </c>
      <c r="R111" s="10"/>
      <c r="S111" s="11">
        <v>45163.0</v>
      </c>
    </row>
    <row r="112" ht="9.0" customHeight="1">
      <c r="A112" s="4" t="s">
        <v>19</v>
      </c>
      <c r="B112" s="14" t="s">
        <v>90</v>
      </c>
      <c r="C112" s="4" t="s">
        <v>90</v>
      </c>
      <c r="D112" s="1"/>
      <c r="E112" s="4" t="s">
        <v>44</v>
      </c>
      <c r="F112" s="1"/>
      <c r="G112" s="4" t="s">
        <v>154</v>
      </c>
      <c r="H112" s="5" t="s">
        <v>30</v>
      </c>
      <c r="I112" s="5"/>
      <c r="J112" s="6"/>
      <c r="K112" s="6"/>
      <c r="L112" s="7" t="s">
        <v>23</v>
      </c>
      <c r="M112" s="1"/>
      <c r="N112" s="8">
        <v>0.4</v>
      </c>
      <c r="O112" s="1"/>
      <c r="P112" s="9">
        <v>1500.0</v>
      </c>
      <c r="Q112" s="9">
        <v>850.0</v>
      </c>
      <c r="R112" s="10"/>
      <c r="S112" s="11">
        <v>45610.0</v>
      </c>
    </row>
    <row r="113" ht="9.0" customHeight="1">
      <c r="A113" s="4" t="s">
        <v>19</v>
      </c>
      <c r="B113" s="14" t="s">
        <v>90</v>
      </c>
      <c r="C113" s="4" t="s">
        <v>90</v>
      </c>
      <c r="D113" s="1"/>
      <c r="E113" s="4" t="s">
        <v>44</v>
      </c>
      <c r="F113" s="1"/>
      <c r="G113" s="4" t="s">
        <v>155</v>
      </c>
      <c r="H113" s="5" t="s">
        <v>30</v>
      </c>
      <c r="I113" s="5"/>
      <c r="J113" s="6"/>
      <c r="K113" s="6"/>
      <c r="L113" s="7" t="s">
        <v>23</v>
      </c>
      <c r="M113" s="1"/>
      <c r="N113" s="8">
        <v>0.4</v>
      </c>
      <c r="O113" s="1"/>
      <c r="P113" s="9">
        <v>1500.0</v>
      </c>
      <c r="Q113" s="9">
        <v>850.0</v>
      </c>
      <c r="R113" s="10"/>
      <c r="S113" s="4"/>
    </row>
    <row r="114" ht="9.0" customHeight="1">
      <c r="A114" s="4" t="s">
        <v>19</v>
      </c>
      <c r="B114" s="14" t="s">
        <v>90</v>
      </c>
      <c r="C114" s="4" t="s">
        <v>90</v>
      </c>
      <c r="D114" s="1"/>
      <c r="E114" s="4" t="s">
        <v>44</v>
      </c>
      <c r="F114" s="1"/>
      <c r="G114" s="4" t="s">
        <v>156</v>
      </c>
      <c r="H114" s="5"/>
      <c r="I114" s="5"/>
      <c r="J114" s="6"/>
      <c r="K114" s="6"/>
      <c r="L114" s="7"/>
      <c r="M114" s="1"/>
      <c r="N114" s="8">
        <v>0.43</v>
      </c>
      <c r="O114" s="1"/>
      <c r="P114" s="9">
        <v>1300.0</v>
      </c>
      <c r="Q114" s="9">
        <v>750.0</v>
      </c>
      <c r="R114" s="10"/>
      <c r="S114" s="11"/>
    </row>
    <row r="115" ht="9.0" customHeight="1">
      <c r="A115" s="4" t="s">
        <v>19</v>
      </c>
      <c r="B115" s="14" t="s">
        <v>90</v>
      </c>
      <c r="C115" s="4" t="s">
        <v>90</v>
      </c>
      <c r="D115" s="1"/>
      <c r="E115" s="4" t="s">
        <v>44</v>
      </c>
      <c r="F115" s="1"/>
      <c r="G115" s="4" t="s">
        <v>157</v>
      </c>
      <c r="H115" s="5"/>
      <c r="I115" s="5"/>
      <c r="J115" s="6"/>
      <c r="K115" s="6"/>
      <c r="L115" s="7" t="s">
        <v>23</v>
      </c>
      <c r="M115" s="1"/>
      <c r="N115" s="8">
        <v>0.43</v>
      </c>
      <c r="O115" s="1"/>
      <c r="P115" s="9">
        <v>1000.0</v>
      </c>
      <c r="Q115" s="9">
        <v>600.0</v>
      </c>
      <c r="R115" s="10"/>
      <c r="S115" s="4"/>
    </row>
    <row r="116" ht="9.0" customHeight="1">
      <c r="A116" s="4" t="s">
        <v>19</v>
      </c>
      <c r="B116" s="14" t="s">
        <v>90</v>
      </c>
      <c r="C116" s="4" t="s">
        <v>90</v>
      </c>
      <c r="D116" s="1"/>
      <c r="E116" s="4" t="s">
        <v>44</v>
      </c>
      <c r="F116" s="1"/>
      <c r="G116" s="4" t="s">
        <v>157</v>
      </c>
      <c r="H116" s="5"/>
      <c r="I116" s="5"/>
      <c r="J116" s="6"/>
      <c r="K116" s="6"/>
      <c r="L116" s="7"/>
      <c r="M116" s="1"/>
      <c r="N116" s="8">
        <v>0.43</v>
      </c>
      <c r="O116" s="1"/>
      <c r="P116" s="9">
        <v>1500.0</v>
      </c>
      <c r="Q116" s="9">
        <v>850.0</v>
      </c>
      <c r="R116" s="10"/>
      <c r="S116" s="4"/>
    </row>
    <row r="117" ht="9.0" customHeight="1">
      <c r="A117" s="4" t="s">
        <v>19</v>
      </c>
      <c r="B117" s="14" t="s">
        <v>90</v>
      </c>
      <c r="C117" s="4" t="s">
        <v>90</v>
      </c>
      <c r="D117" s="1"/>
      <c r="E117" s="4" t="s">
        <v>44</v>
      </c>
      <c r="F117" s="1"/>
      <c r="G117" s="4" t="s">
        <v>158</v>
      </c>
      <c r="H117" s="5"/>
      <c r="I117" s="5"/>
      <c r="J117" s="6"/>
      <c r="K117" s="6"/>
      <c r="L117" s="7" t="s">
        <v>23</v>
      </c>
      <c r="M117" s="1"/>
      <c r="N117" s="8">
        <v>0.51</v>
      </c>
      <c r="O117" s="1"/>
      <c r="P117" s="9">
        <v>1100.0</v>
      </c>
      <c r="Q117" s="9">
        <v>650.0</v>
      </c>
      <c r="R117" s="10"/>
      <c r="S117" s="11">
        <v>45772.0</v>
      </c>
    </row>
    <row r="118" ht="9.0" customHeight="1">
      <c r="A118" s="4" t="s">
        <v>19</v>
      </c>
      <c r="B118" s="14" t="s">
        <v>90</v>
      </c>
      <c r="C118" s="4" t="s">
        <v>90</v>
      </c>
      <c r="D118" s="1"/>
      <c r="E118" s="4" t="s">
        <v>44</v>
      </c>
      <c r="F118" s="1"/>
      <c r="G118" s="4" t="s">
        <v>159</v>
      </c>
      <c r="H118" s="5"/>
      <c r="I118" s="5"/>
      <c r="J118" s="6"/>
      <c r="K118" s="6"/>
      <c r="L118" s="7" t="s">
        <v>23</v>
      </c>
      <c r="M118" s="1"/>
      <c r="N118" s="8">
        <v>0.48</v>
      </c>
      <c r="O118" s="1"/>
      <c r="P118" s="9">
        <v>900.0</v>
      </c>
      <c r="Q118" s="9">
        <v>550.0</v>
      </c>
      <c r="R118" s="10"/>
      <c r="S118" s="11">
        <v>45563.0</v>
      </c>
    </row>
    <row r="119" ht="9.0" customHeight="1">
      <c r="A119" s="4" t="s">
        <v>19</v>
      </c>
      <c r="B119" s="14" t="s">
        <v>90</v>
      </c>
      <c r="C119" s="4" t="s">
        <v>90</v>
      </c>
      <c r="D119" s="1"/>
      <c r="E119" s="4" t="s">
        <v>44</v>
      </c>
      <c r="F119" s="1"/>
      <c r="G119" s="4" t="s">
        <v>160</v>
      </c>
      <c r="H119" s="5"/>
      <c r="I119" s="5"/>
      <c r="J119" s="6"/>
      <c r="K119" s="6"/>
      <c r="L119" s="7" t="s">
        <v>23</v>
      </c>
      <c r="M119" s="1"/>
      <c r="N119" s="8">
        <v>0.42</v>
      </c>
      <c r="O119" s="1"/>
      <c r="P119" s="9">
        <v>900.0</v>
      </c>
      <c r="Q119" s="9">
        <v>550.0</v>
      </c>
      <c r="R119" s="10"/>
      <c r="S119" s="11">
        <v>45480.0</v>
      </c>
    </row>
    <row r="120" ht="9.0" customHeight="1">
      <c r="A120" s="4" t="s">
        <v>19</v>
      </c>
      <c r="B120" s="14" t="s">
        <v>90</v>
      </c>
      <c r="C120" s="4" t="s">
        <v>90</v>
      </c>
      <c r="D120" s="1"/>
      <c r="E120" s="4" t="s">
        <v>44</v>
      </c>
      <c r="F120" s="1"/>
      <c r="G120" s="4" t="s">
        <v>161</v>
      </c>
      <c r="H120" s="5"/>
      <c r="I120" s="5"/>
      <c r="J120" s="6"/>
      <c r="K120" s="6"/>
      <c r="L120" s="7" t="s">
        <v>23</v>
      </c>
      <c r="M120" s="1"/>
      <c r="N120" s="8">
        <v>0.45</v>
      </c>
      <c r="O120" s="1"/>
      <c r="P120" s="9">
        <v>900.0</v>
      </c>
      <c r="Q120" s="9">
        <v>550.0</v>
      </c>
      <c r="R120" s="10"/>
      <c r="S120" s="11">
        <v>45482.0</v>
      </c>
    </row>
    <row r="121" ht="9.0" customHeight="1">
      <c r="A121" s="4" t="s">
        <v>19</v>
      </c>
      <c r="B121" s="14" t="s">
        <v>90</v>
      </c>
      <c r="C121" s="4" t="s">
        <v>90</v>
      </c>
      <c r="D121" s="1"/>
      <c r="E121" s="4" t="s">
        <v>44</v>
      </c>
      <c r="F121" s="1"/>
      <c r="G121" s="4" t="s">
        <v>162</v>
      </c>
      <c r="H121" s="5"/>
      <c r="I121" s="5"/>
      <c r="J121" s="6"/>
      <c r="K121" s="6"/>
      <c r="L121" s="7"/>
      <c r="M121" s="1"/>
      <c r="N121" s="8">
        <v>0.46</v>
      </c>
      <c r="O121" s="1"/>
      <c r="P121" s="9">
        <v>1400.0</v>
      </c>
      <c r="Q121" s="9">
        <v>800.0</v>
      </c>
      <c r="R121" s="10"/>
      <c r="S121" s="11">
        <v>45529.0</v>
      </c>
    </row>
    <row r="122" ht="9.0" customHeight="1">
      <c r="A122" s="4" t="s">
        <v>19</v>
      </c>
      <c r="B122" s="14" t="s">
        <v>90</v>
      </c>
      <c r="C122" s="4" t="s">
        <v>90</v>
      </c>
      <c r="D122" s="1"/>
      <c r="E122" s="4" t="s">
        <v>44</v>
      </c>
      <c r="F122" s="1"/>
      <c r="G122" s="4" t="s">
        <v>163</v>
      </c>
      <c r="H122" s="5"/>
      <c r="I122" s="5"/>
      <c r="J122" s="6"/>
      <c r="K122" s="6"/>
      <c r="L122" s="7"/>
      <c r="M122" s="1"/>
      <c r="N122" s="8">
        <v>0.45</v>
      </c>
      <c r="O122" s="1"/>
      <c r="P122" s="9">
        <v>1400.0</v>
      </c>
      <c r="Q122" s="9">
        <v>800.0</v>
      </c>
      <c r="R122" s="10"/>
      <c r="S122" s="11">
        <v>45217.0</v>
      </c>
    </row>
    <row r="123" ht="9.0" customHeight="1">
      <c r="A123" s="4" t="s">
        <v>19</v>
      </c>
      <c r="B123" s="14" t="s">
        <v>90</v>
      </c>
      <c r="C123" s="4" t="s">
        <v>90</v>
      </c>
      <c r="D123" s="1"/>
      <c r="E123" s="4" t="s">
        <v>44</v>
      </c>
      <c r="F123" s="1"/>
      <c r="G123" s="4" t="s">
        <v>164</v>
      </c>
      <c r="H123" s="5"/>
      <c r="I123" s="5"/>
      <c r="J123" s="6"/>
      <c r="K123" s="6"/>
      <c r="L123" s="7"/>
      <c r="M123" s="1"/>
      <c r="N123" s="8">
        <v>0.43</v>
      </c>
      <c r="O123" s="1"/>
      <c r="P123" s="9">
        <v>1400.0</v>
      </c>
      <c r="Q123" s="9">
        <v>800.0</v>
      </c>
      <c r="R123" s="10"/>
      <c r="S123" s="11">
        <v>45488.0</v>
      </c>
    </row>
    <row r="124" ht="9.0" customHeight="1">
      <c r="A124" s="4" t="s">
        <v>19</v>
      </c>
      <c r="B124" s="14" t="s">
        <v>90</v>
      </c>
      <c r="C124" s="4" t="s">
        <v>90</v>
      </c>
      <c r="D124" s="1"/>
      <c r="E124" s="4" t="s">
        <v>44</v>
      </c>
      <c r="F124" s="1"/>
      <c r="G124" s="4" t="s">
        <v>165</v>
      </c>
      <c r="H124" s="5"/>
      <c r="I124" s="5"/>
      <c r="J124" s="6"/>
      <c r="K124" s="6"/>
      <c r="L124" s="7" t="s">
        <v>23</v>
      </c>
      <c r="M124" s="1"/>
      <c r="N124" s="8">
        <v>0.4</v>
      </c>
      <c r="O124" s="1"/>
      <c r="P124" s="9">
        <v>900.0</v>
      </c>
      <c r="Q124" s="9">
        <v>550.0</v>
      </c>
      <c r="R124" s="10"/>
      <c r="S124" s="11">
        <v>45483.0</v>
      </c>
    </row>
    <row r="125" ht="9.0" customHeight="1">
      <c r="A125" s="4" t="s">
        <v>19</v>
      </c>
      <c r="B125" s="14" t="s">
        <v>90</v>
      </c>
      <c r="C125" s="4" t="s">
        <v>90</v>
      </c>
      <c r="D125" s="1"/>
      <c r="E125" s="4" t="s">
        <v>44</v>
      </c>
      <c r="F125" s="1"/>
      <c r="G125" s="4" t="s">
        <v>166</v>
      </c>
      <c r="H125" s="5"/>
      <c r="I125" s="5"/>
      <c r="J125" s="6"/>
      <c r="K125" s="6"/>
      <c r="L125" s="7"/>
      <c r="M125" s="1"/>
      <c r="N125" s="8">
        <v>0.43</v>
      </c>
      <c r="O125" s="1"/>
      <c r="P125" s="9">
        <v>1400.0</v>
      </c>
      <c r="Q125" s="9">
        <v>800.0</v>
      </c>
      <c r="R125" s="10"/>
      <c r="S125" s="4"/>
    </row>
    <row r="126" ht="9.0" customHeight="1">
      <c r="A126" s="4" t="s">
        <v>19</v>
      </c>
      <c r="B126" s="14" t="s">
        <v>90</v>
      </c>
      <c r="C126" s="4" t="s">
        <v>90</v>
      </c>
      <c r="D126" s="1"/>
      <c r="E126" s="4" t="s">
        <v>44</v>
      </c>
      <c r="F126" s="1"/>
      <c r="G126" s="4" t="s">
        <v>167</v>
      </c>
      <c r="H126" s="5"/>
      <c r="I126" s="5"/>
      <c r="J126" s="6"/>
      <c r="K126" s="6"/>
      <c r="L126" s="7"/>
      <c r="M126" s="1"/>
      <c r="N126" s="8">
        <v>0.43</v>
      </c>
      <c r="O126" s="1"/>
      <c r="P126" s="9">
        <v>1400.0</v>
      </c>
      <c r="Q126" s="9">
        <v>800.0</v>
      </c>
      <c r="R126" s="10"/>
      <c r="S126" s="4"/>
    </row>
    <row r="127" ht="9.0" customHeight="1">
      <c r="A127" s="4" t="s">
        <v>19</v>
      </c>
      <c r="B127" s="14" t="s">
        <v>90</v>
      </c>
      <c r="C127" s="4" t="s">
        <v>90</v>
      </c>
      <c r="D127" s="1"/>
      <c r="E127" s="4" t="s">
        <v>44</v>
      </c>
      <c r="F127" s="1"/>
      <c r="G127" s="4" t="s">
        <v>168</v>
      </c>
      <c r="H127" s="5"/>
      <c r="I127" s="5"/>
      <c r="J127" s="6"/>
      <c r="K127" s="6"/>
      <c r="L127" s="7"/>
      <c r="M127" s="1"/>
      <c r="N127" s="8">
        <v>0.4</v>
      </c>
      <c r="O127" s="1"/>
      <c r="P127" s="9">
        <v>1600.0</v>
      </c>
      <c r="Q127" s="9">
        <v>900.0</v>
      </c>
      <c r="R127" s="10"/>
      <c r="S127" s="4"/>
    </row>
    <row r="128" ht="9.0" customHeight="1">
      <c r="A128" s="4" t="s">
        <v>19</v>
      </c>
      <c r="B128" s="14" t="s">
        <v>90</v>
      </c>
      <c r="C128" s="4" t="s">
        <v>90</v>
      </c>
      <c r="D128" s="1"/>
      <c r="E128" s="4" t="s">
        <v>44</v>
      </c>
      <c r="F128" s="1"/>
      <c r="G128" s="4" t="s">
        <v>169</v>
      </c>
      <c r="H128" s="5"/>
      <c r="I128" s="5"/>
      <c r="J128" s="6"/>
      <c r="K128" s="6"/>
      <c r="L128" s="7"/>
      <c r="M128" s="1"/>
      <c r="N128" s="8">
        <v>0.4</v>
      </c>
      <c r="O128" s="1"/>
      <c r="P128" s="9">
        <v>1500.0</v>
      </c>
      <c r="Q128" s="9">
        <v>850.0</v>
      </c>
      <c r="R128" s="10"/>
      <c r="S128" s="11">
        <v>45489.0</v>
      </c>
    </row>
    <row r="129" ht="9.0" customHeight="1">
      <c r="A129" s="4" t="s">
        <v>19</v>
      </c>
      <c r="B129" s="14" t="s">
        <v>90</v>
      </c>
      <c r="C129" s="4" t="s">
        <v>90</v>
      </c>
      <c r="D129" s="1"/>
      <c r="E129" s="4" t="s">
        <v>44</v>
      </c>
      <c r="F129" s="1"/>
      <c r="G129" s="4" t="s">
        <v>170</v>
      </c>
      <c r="H129" s="5"/>
      <c r="I129" s="5"/>
      <c r="J129" s="6"/>
      <c r="K129" s="6"/>
      <c r="L129" s="7"/>
      <c r="M129" s="1"/>
      <c r="N129" s="8">
        <v>0.43</v>
      </c>
      <c r="O129" s="1"/>
      <c r="P129" s="9">
        <v>1500.0</v>
      </c>
      <c r="Q129" s="9">
        <v>850.0</v>
      </c>
      <c r="R129" s="10"/>
      <c r="S129" s="11">
        <v>45490.0</v>
      </c>
    </row>
    <row r="130" ht="9.0" customHeight="1">
      <c r="A130" s="4" t="s">
        <v>19</v>
      </c>
      <c r="B130" s="14" t="s">
        <v>90</v>
      </c>
      <c r="C130" s="4" t="s">
        <v>90</v>
      </c>
      <c r="D130" s="1"/>
      <c r="E130" s="4" t="s">
        <v>44</v>
      </c>
      <c r="F130" s="1"/>
      <c r="G130" s="4" t="s">
        <v>171</v>
      </c>
      <c r="H130" s="5"/>
      <c r="I130" s="5"/>
      <c r="J130" s="6"/>
      <c r="K130" s="6"/>
      <c r="L130" s="7"/>
      <c r="M130" s="1"/>
      <c r="N130" s="8">
        <v>0.43</v>
      </c>
      <c r="O130" s="1"/>
      <c r="P130" s="9">
        <v>1400.0</v>
      </c>
      <c r="Q130" s="9">
        <v>800.0</v>
      </c>
      <c r="R130" s="10"/>
      <c r="S130" s="4"/>
    </row>
    <row r="131" ht="9.0" customHeight="1">
      <c r="A131" s="4" t="s">
        <v>19</v>
      </c>
      <c r="B131" s="14" t="s">
        <v>90</v>
      </c>
      <c r="C131" s="4" t="s">
        <v>90</v>
      </c>
      <c r="D131" s="1"/>
      <c r="E131" s="4" t="s">
        <v>44</v>
      </c>
      <c r="F131" s="1"/>
      <c r="G131" s="4" t="s">
        <v>172</v>
      </c>
      <c r="H131" s="5" t="s">
        <v>79</v>
      </c>
      <c r="I131" s="5"/>
      <c r="J131" s="6"/>
      <c r="K131" s="6"/>
      <c r="L131" s="7"/>
      <c r="M131" s="1"/>
      <c r="N131" s="8">
        <v>0.4</v>
      </c>
      <c r="O131" s="1"/>
      <c r="P131" s="9">
        <v>1100.0</v>
      </c>
      <c r="Q131" s="9">
        <v>650.0</v>
      </c>
      <c r="R131" s="10"/>
      <c r="S131" s="4"/>
    </row>
    <row r="132" ht="9.0" customHeight="1">
      <c r="A132" s="4" t="s">
        <v>19</v>
      </c>
      <c r="B132" s="14" t="s">
        <v>90</v>
      </c>
      <c r="C132" s="4" t="s">
        <v>90</v>
      </c>
      <c r="D132" s="1"/>
      <c r="E132" s="4" t="s">
        <v>44</v>
      </c>
      <c r="F132" s="1"/>
      <c r="G132" s="4" t="s">
        <v>173</v>
      </c>
      <c r="H132" s="5"/>
      <c r="I132" s="5"/>
      <c r="J132" s="6"/>
      <c r="K132" s="6"/>
      <c r="L132" s="7"/>
      <c r="M132" s="1"/>
      <c r="N132" s="8">
        <v>0.39</v>
      </c>
      <c r="O132" s="1"/>
      <c r="P132" s="9">
        <v>1300.0</v>
      </c>
      <c r="Q132" s="9">
        <v>750.0</v>
      </c>
      <c r="R132" s="10"/>
      <c r="S132" s="4"/>
    </row>
    <row r="133" ht="9.0" customHeight="1">
      <c r="A133" s="4" t="s">
        <v>19</v>
      </c>
      <c r="B133" s="14" t="s">
        <v>90</v>
      </c>
      <c r="C133" s="4" t="s">
        <v>90</v>
      </c>
      <c r="D133" s="1"/>
      <c r="E133" s="4" t="s">
        <v>44</v>
      </c>
      <c r="F133" s="1"/>
      <c r="G133" s="4" t="s">
        <v>174</v>
      </c>
      <c r="H133" s="5" t="s">
        <v>75</v>
      </c>
      <c r="I133" s="5"/>
      <c r="J133" s="6"/>
      <c r="K133" s="6"/>
      <c r="L133" s="7"/>
      <c r="M133" s="1"/>
      <c r="N133" s="8">
        <v>0.39</v>
      </c>
      <c r="O133" s="1"/>
      <c r="P133" s="9">
        <v>1000.0</v>
      </c>
      <c r="Q133" s="9">
        <v>600.0</v>
      </c>
      <c r="R133" s="10"/>
      <c r="S133" s="4"/>
    </row>
    <row r="134" ht="9.0" customHeight="1">
      <c r="A134" s="4" t="s">
        <v>19</v>
      </c>
      <c r="B134" s="14" t="s">
        <v>90</v>
      </c>
      <c r="C134" s="4" t="s">
        <v>90</v>
      </c>
      <c r="D134" s="1"/>
      <c r="E134" s="4" t="s">
        <v>44</v>
      </c>
      <c r="F134" s="1"/>
      <c r="G134" s="4" t="s">
        <v>175</v>
      </c>
      <c r="H134" s="5" t="s">
        <v>176</v>
      </c>
      <c r="I134" s="5"/>
      <c r="J134" s="6"/>
      <c r="K134" s="6"/>
      <c r="L134" s="7" t="s">
        <v>23</v>
      </c>
      <c r="M134" s="1"/>
      <c r="N134" s="8">
        <v>0.4</v>
      </c>
      <c r="O134" s="1"/>
      <c r="P134" s="9">
        <v>1200.0</v>
      </c>
      <c r="Q134" s="9">
        <v>700.0</v>
      </c>
      <c r="R134" s="10"/>
      <c r="S134" s="11">
        <v>45165.0</v>
      </c>
    </row>
    <row r="135" ht="9.0" customHeight="1">
      <c r="A135" s="4" t="s">
        <v>19</v>
      </c>
      <c r="B135" s="14" t="s">
        <v>90</v>
      </c>
      <c r="C135" s="4" t="s">
        <v>90</v>
      </c>
      <c r="D135" s="1"/>
      <c r="E135" s="4" t="s">
        <v>44</v>
      </c>
      <c r="F135" s="1"/>
      <c r="G135" s="4" t="s">
        <v>177</v>
      </c>
      <c r="H135" s="5"/>
      <c r="I135" s="5"/>
      <c r="J135" s="6"/>
      <c r="K135" s="6"/>
      <c r="L135" s="7"/>
      <c r="M135" s="1"/>
      <c r="N135" s="8">
        <v>0.4</v>
      </c>
      <c r="O135" s="1"/>
      <c r="P135" s="9">
        <v>1200.0</v>
      </c>
      <c r="Q135" s="9">
        <v>700.0</v>
      </c>
      <c r="R135" s="10"/>
      <c r="S135" s="4"/>
    </row>
    <row r="136" ht="9.0" customHeight="1">
      <c r="A136" s="4" t="s">
        <v>19</v>
      </c>
      <c r="B136" s="14" t="s">
        <v>90</v>
      </c>
      <c r="C136" s="4" t="s">
        <v>90</v>
      </c>
      <c r="D136" s="1"/>
      <c r="E136" s="4" t="s">
        <v>44</v>
      </c>
      <c r="F136" s="1"/>
      <c r="G136" s="4" t="s">
        <v>178</v>
      </c>
      <c r="H136" s="5"/>
      <c r="I136" s="5"/>
      <c r="J136" s="6"/>
      <c r="K136" s="6"/>
      <c r="L136" s="7"/>
      <c r="M136" s="1"/>
      <c r="N136" s="8">
        <v>0.43</v>
      </c>
      <c r="O136" s="1"/>
      <c r="P136" s="9">
        <v>1200.0</v>
      </c>
      <c r="Q136" s="9">
        <v>700.0</v>
      </c>
      <c r="R136" s="10"/>
      <c r="S136" s="11">
        <v>45302.0</v>
      </c>
    </row>
    <row r="137" ht="9.0" customHeight="1">
      <c r="A137" s="4" t="s">
        <v>19</v>
      </c>
      <c r="B137" s="14" t="s">
        <v>90</v>
      </c>
      <c r="C137" s="4" t="s">
        <v>90</v>
      </c>
      <c r="D137" s="1"/>
      <c r="E137" s="4" t="s">
        <v>44</v>
      </c>
      <c r="F137" s="1"/>
      <c r="G137" s="4" t="s">
        <v>179</v>
      </c>
      <c r="H137" s="5" t="s">
        <v>64</v>
      </c>
      <c r="I137" s="5"/>
      <c r="J137" s="6"/>
      <c r="K137" s="6"/>
      <c r="L137" s="7"/>
      <c r="M137" s="1"/>
      <c r="N137" s="8">
        <v>0.43</v>
      </c>
      <c r="O137" s="1"/>
      <c r="P137" s="9">
        <v>2600.0</v>
      </c>
      <c r="Q137" s="9">
        <v>1400.0</v>
      </c>
      <c r="R137" s="10"/>
      <c r="S137" s="4"/>
    </row>
    <row r="138" ht="9.0" customHeight="1">
      <c r="A138" s="4" t="s">
        <v>19</v>
      </c>
      <c r="B138" s="14" t="s">
        <v>90</v>
      </c>
      <c r="C138" s="4" t="s">
        <v>90</v>
      </c>
      <c r="D138" s="1"/>
      <c r="E138" s="4" t="s">
        <v>44</v>
      </c>
      <c r="F138" s="1"/>
      <c r="G138" s="4" t="s">
        <v>180</v>
      </c>
      <c r="H138" s="5" t="s">
        <v>64</v>
      </c>
      <c r="I138" s="5"/>
      <c r="J138" s="6"/>
      <c r="K138" s="6"/>
      <c r="L138" s="7"/>
      <c r="M138" s="1"/>
      <c r="N138" s="8">
        <v>0.43</v>
      </c>
      <c r="O138" s="1"/>
      <c r="P138" s="9">
        <v>1500.0</v>
      </c>
      <c r="Q138" s="9">
        <v>850.0</v>
      </c>
      <c r="R138" s="10"/>
      <c r="S138" s="4"/>
    </row>
    <row r="139" ht="9.0" customHeight="1">
      <c r="A139" s="4" t="s">
        <v>19</v>
      </c>
      <c r="B139" s="14" t="s">
        <v>90</v>
      </c>
      <c r="C139" s="4" t="s">
        <v>90</v>
      </c>
      <c r="D139" s="1"/>
      <c r="E139" s="4" t="s">
        <v>44</v>
      </c>
      <c r="F139" s="1"/>
      <c r="G139" s="4" t="s">
        <v>181</v>
      </c>
      <c r="H139" s="5" t="s">
        <v>64</v>
      </c>
      <c r="I139" s="5"/>
      <c r="J139" s="6"/>
      <c r="K139" s="6"/>
      <c r="L139" s="7"/>
      <c r="M139" s="1"/>
      <c r="N139" s="8">
        <v>0.43</v>
      </c>
      <c r="O139" s="1"/>
      <c r="P139" s="9">
        <v>1300.0</v>
      </c>
      <c r="Q139" s="9">
        <v>750.0</v>
      </c>
      <c r="R139" s="10"/>
      <c r="S139" s="11">
        <v>45208.0</v>
      </c>
    </row>
    <row r="140" ht="9.0" customHeight="1">
      <c r="A140" s="4" t="s">
        <v>19</v>
      </c>
      <c r="B140" s="14" t="s">
        <v>90</v>
      </c>
      <c r="C140" s="4" t="s">
        <v>90</v>
      </c>
      <c r="D140" s="1"/>
      <c r="E140" s="4" t="s">
        <v>44</v>
      </c>
      <c r="F140" s="1"/>
      <c r="G140" s="4" t="s">
        <v>182</v>
      </c>
      <c r="H140" s="5" t="s">
        <v>64</v>
      </c>
      <c r="I140" s="5"/>
      <c r="J140" s="6"/>
      <c r="K140" s="6"/>
      <c r="L140" s="7"/>
      <c r="M140" s="1"/>
      <c r="N140" s="8">
        <v>0.43</v>
      </c>
      <c r="O140" s="1"/>
      <c r="P140" s="9">
        <v>1500.0</v>
      </c>
      <c r="Q140" s="9">
        <v>850.0</v>
      </c>
      <c r="R140" s="10"/>
      <c r="S140" s="11">
        <v>45266.0</v>
      </c>
    </row>
    <row r="141" ht="9.0" customHeight="1">
      <c r="A141" s="4" t="s">
        <v>19</v>
      </c>
      <c r="B141" s="14" t="s">
        <v>90</v>
      </c>
      <c r="C141" s="4" t="s">
        <v>90</v>
      </c>
      <c r="D141" s="1"/>
      <c r="E141" s="4" t="s">
        <v>44</v>
      </c>
      <c r="F141" s="1"/>
      <c r="G141" s="4" t="s">
        <v>183</v>
      </c>
      <c r="H141" s="5" t="s">
        <v>64</v>
      </c>
      <c r="I141" s="5"/>
      <c r="J141" s="6"/>
      <c r="K141" s="6"/>
      <c r="L141" s="7"/>
      <c r="M141" s="1"/>
      <c r="N141" s="8">
        <v>0.43</v>
      </c>
      <c r="O141" s="1"/>
      <c r="P141" s="9">
        <v>1800.0</v>
      </c>
      <c r="Q141" s="9">
        <v>1000.0</v>
      </c>
      <c r="R141" s="10"/>
      <c r="S141" s="11">
        <v>45269.0</v>
      </c>
    </row>
    <row r="142" ht="9.0" customHeight="1">
      <c r="A142" s="4" t="s">
        <v>19</v>
      </c>
      <c r="B142" s="14" t="s">
        <v>90</v>
      </c>
      <c r="C142" s="4" t="s">
        <v>90</v>
      </c>
      <c r="D142" s="1"/>
      <c r="E142" s="4" t="s">
        <v>44</v>
      </c>
      <c r="F142" s="1"/>
      <c r="G142" s="4" t="s">
        <v>184</v>
      </c>
      <c r="H142" s="5" t="s">
        <v>75</v>
      </c>
      <c r="I142" s="5"/>
      <c r="J142" s="6"/>
      <c r="K142" s="6"/>
      <c r="L142" s="7"/>
      <c r="M142" s="1"/>
      <c r="N142" s="8">
        <v>0.39</v>
      </c>
      <c r="O142" s="1"/>
      <c r="P142" s="9">
        <v>1100.0</v>
      </c>
      <c r="Q142" s="9">
        <v>650.0</v>
      </c>
      <c r="R142" s="10"/>
      <c r="S142" s="4"/>
    </row>
    <row r="143" ht="9.0" customHeight="1">
      <c r="A143" s="4" t="s">
        <v>19</v>
      </c>
      <c r="B143" s="14" t="s">
        <v>90</v>
      </c>
      <c r="C143" s="4" t="s">
        <v>90</v>
      </c>
      <c r="D143" s="1"/>
      <c r="E143" s="4" t="s">
        <v>44</v>
      </c>
      <c r="F143" s="1"/>
      <c r="G143" s="4" t="s">
        <v>185</v>
      </c>
      <c r="H143" s="5" t="s">
        <v>186</v>
      </c>
      <c r="I143" s="5"/>
      <c r="J143" s="6"/>
      <c r="K143" s="6"/>
      <c r="L143" s="7"/>
      <c r="M143" s="1"/>
      <c r="N143" s="8">
        <v>0.25</v>
      </c>
      <c r="O143" s="1"/>
      <c r="P143" s="9">
        <v>1000.0</v>
      </c>
      <c r="Q143" s="9">
        <v>600.0</v>
      </c>
      <c r="R143" s="10"/>
      <c r="S143" s="4"/>
    </row>
    <row r="144" ht="9.0" customHeight="1">
      <c r="A144" s="4" t="s">
        <v>19</v>
      </c>
      <c r="B144" s="4" t="s">
        <v>187</v>
      </c>
      <c r="C144" s="4" t="s">
        <v>187</v>
      </c>
      <c r="D144" s="1" t="s">
        <v>188</v>
      </c>
      <c r="E144" s="4" t="s">
        <v>92</v>
      </c>
      <c r="F144" s="1" t="s">
        <v>189</v>
      </c>
      <c r="G144" s="4" t="s">
        <v>190</v>
      </c>
      <c r="H144" s="5"/>
      <c r="I144" s="5"/>
      <c r="J144" s="6" t="s">
        <v>191</v>
      </c>
      <c r="K144" s="6" t="s">
        <v>192</v>
      </c>
      <c r="L144" s="7"/>
      <c r="M144" s="1"/>
      <c r="N144" s="8">
        <v>0.45</v>
      </c>
      <c r="O144" s="1"/>
      <c r="P144" s="9">
        <v>1800.0</v>
      </c>
      <c r="Q144" s="9">
        <v>1000.0</v>
      </c>
      <c r="R144" s="10"/>
      <c r="S144" s="11">
        <v>45195.0</v>
      </c>
    </row>
    <row r="145" ht="9.0" customHeight="1">
      <c r="A145" s="4" t="s">
        <v>19</v>
      </c>
      <c r="B145" s="4" t="s">
        <v>187</v>
      </c>
      <c r="C145" s="4" t="s">
        <v>187</v>
      </c>
      <c r="D145" s="1" t="s">
        <v>188</v>
      </c>
      <c r="E145" s="4" t="s">
        <v>92</v>
      </c>
      <c r="F145" s="1" t="s">
        <v>193</v>
      </c>
      <c r="G145" s="4" t="s">
        <v>190</v>
      </c>
      <c r="H145" s="5"/>
      <c r="I145" s="5"/>
      <c r="J145" s="6" t="s">
        <v>191</v>
      </c>
      <c r="K145" s="6" t="s">
        <v>194</v>
      </c>
      <c r="L145" s="7"/>
      <c r="M145" s="1"/>
      <c r="N145" s="8">
        <v>0.46</v>
      </c>
      <c r="O145" s="1"/>
      <c r="P145" s="9">
        <v>1800.0</v>
      </c>
      <c r="Q145" s="9">
        <v>1000.0</v>
      </c>
      <c r="R145" s="10"/>
      <c r="S145" s="11">
        <v>45198.0</v>
      </c>
    </row>
    <row r="146" ht="9.0" customHeight="1">
      <c r="A146" s="4" t="s">
        <v>19</v>
      </c>
      <c r="B146" s="4" t="s">
        <v>187</v>
      </c>
      <c r="C146" s="4" t="s">
        <v>187</v>
      </c>
      <c r="D146" s="1" t="s">
        <v>188</v>
      </c>
      <c r="E146" s="4" t="s">
        <v>92</v>
      </c>
      <c r="F146" s="1" t="s">
        <v>195</v>
      </c>
      <c r="G146" s="4" t="s">
        <v>196</v>
      </c>
      <c r="H146" s="5" t="s">
        <v>30</v>
      </c>
      <c r="I146" s="5"/>
      <c r="J146" s="6" t="s">
        <v>191</v>
      </c>
      <c r="K146" s="6" t="s">
        <v>197</v>
      </c>
      <c r="L146" s="7"/>
      <c r="M146" s="1"/>
      <c r="N146" s="8">
        <v>0.51</v>
      </c>
      <c r="O146" s="1"/>
      <c r="P146" s="9">
        <v>2000.0</v>
      </c>
      <c r="Q146" s="9">
        <v>1100.0</v>
      </c>
      <c r="R146" s="10"/>
      <c r="S146" s="4"/>
    </row>
    <row r="147" ht="9.0" customHeight="1">
      <c r="A147" s="4" t="s">
        <v>19</v>
      </c>
      <c r="B147" s="4" t="s">
        <v>187</v>
      </c>
      <c r="C147" s="4" t="s">
        <v>187</v>
      </c>
      <c r="D147" s="1" t="s">
        <v>188</v>
      </c>
      <c r="E147" s="12" t="s">
        <v>198</v>
      </c>
      <c r="F147" s="1" t="s">
        <v>199</v>
      </c>
      <c r="G147" s="4" t="s">
        <v>200</v>
      </c>
      <c r="H147" s="5" t="s">
        <v>30</v>
      </c>
      <c r="I147" s="5"/>
      <c r="J147" s="6" t="s">
        <v>191</v>
      </c>
      <c r="K147" s="6" t="s">
        <v>197</v>
      </c>
      <c r="L147" s="7"/>
      <c r="M147" s="1"/>
      <c r="N147" s="8">
        <v>0.64</v>
      </c>
      <c r="O147" s="1"/>
      <c r="P147" s="9">
        <v>2000.0</v>
      </c>
      <c r="Q147" s="9">
        <v>1100.0</v>
      </c>
      <c r="R147" s="10"/>
      <c r="S147" s="4"/>
    </row>
    <row r="148" ht="9.0" customHeight="1">
      <c r="A148" s="4" t="s">
        <v>19</v>
      </c>
      <c r="B148" s="4" t="s">
        <v>187</v>
      </c>
      <c r="C148" s="4" t="s">
        <v>187</v>
      </c>
      <c r="D148" s="1" t="s">
        <v>188</v>
      </c>
      <c r="E148" s="4" t="s">
        <v>22</v>
      </c>
      <c r="F148" s="1"/>
      <c r="G148" s="4" t="s">
        <v>201</v>
      </c>
      <c r="H148" s="5"/>
      <c r="I148" s="5"/>
      <c r="J148" s="6"/>
      <c r="K148" s="6"/>
      <c r="L148" s="7" t="s">
        <v>23</v>
      </c>
      <c r="M148" s="1"/>
      <c r="N148" s="8">
        <v>0.46</v>
      </c>
      <c r="O148" s="1"/>
      <c r="P148" s="9">
        <v>1500.0</v>
      </c>
      <c r="Q148" s="9">
        <v>850.0</v>
      </c>
      <c r="R148" s="10"/>
      <c r="S148" s="11">
        <v>45699.0</v>
      </c>
    </row>
    <row r="149" ht="9.0" customHeight="1">
      <c r="A149" s="4" t="s">
        <v>19</v>
      </c>
      <c r="B149" s="4" t="s">
        <v>187</v>
      </c>
      <c r="C149" s="4" t="s">
        <v>187</v>
      </c>
      <c r="D149" s="1" t="s">
        <v>188</v>
      </c>
      <c r="E149" s="4" t="s">
        <v>22</v>
      </c>
      <c r="F149" s="1"/>
      <c r="G149" s="4" t="s">
        <v>202</v>
      </c>
      <c r="H149" s="5" t="s">
        <v>203</v>
      </c>
      <c r="I149" s="5"/>
      <c r="J149" s="6"/>
      <c r="K149" s="6"/>
      <c r="L149" s="7"/>
      <c r="M149" s="1"/>
      <c r="N149" s="8">
        <v>0.4</v>
      </c>
      <c r="O149" s="1"/>
      <c r="P149" s="9">
        <v>2200.0</v>
      </c>
      <c r="Q149" s="9">
        <v>1200.0</v>
      </c>
      <c r="R149" s="10"/>
      <c r="S149" s="11">
        <v>44941.0</v>
      </c>
    </row>
    <row r="150" ht="9.0" customHeight="1">
      <c r="A150" s="4" t="s">
        <v>19</v>
      </c>
      <c r="B150" s="4" t="s">
        <v>187</v>
      </c>
      <c r="C150" s="4" t="s">
        <v>187</v>
      </c>
      <c r="D150" s="1" t="s">
        <v>188</v>
      </c>
      <c r="E150" s="4" t="s">
        <v>22</v>
      </c>
      <c r="F150" s="1"/>
      <c r="G150" s="4" t="s">
        <v>204</v>
      </c>
      <c r="H150" s="5"/>
      <c r="I150" s="5"/>
      <c r="J150" s="6"/>
      <c r="K150" s="6"/>
      <c r="L150" s="7"/>
      <c r="M150" s="1"/>
      <c r="N150" s="8">
        <v>0.46</v>
      </c>
      <c r="O150" s="1"/>
      <c r="P150" s="9">
        <v>2000.0</v>
      </c>
      <c r="Q150" s="9">
        <v>1100.0</v>
      </c>
      <c r="R150" s="10"/>
      <c r="S150" s="11">
        <v>45446.0</v>
      </c>
    </row>
    <row r="151" ht="9.0" customHeight="1">
      <c r="A151" s="4" t="s">
        <v>19</v>
      </c>
      <c r="B151" s="4" t="s">
        <v>187</v>
      </c>
      <c r="C151" s="4" t="s">
        <v>187</v>
      </c>
      <c r="D151" s="1" t="s">
        <v>188</v>
      </c>
      <c r="E151" s="4" t="s">
        <v>22</v>
      </c>
      <c r="F151" s="1"/>
      <c r="G151" s="4" t="s">
        <v>205</v>
      </c>
      <c r="H151" s="5"/>
      <c r="I151" s="5"/>
      <c r="J151" s="6"/>
      <c r="K151" s="6"/>
      <c r="L151" s="7"/>
      <c r="M151" s="1"/>
      <c r="N151" s="8">
        <v>0.5</v>
      </c>
      <c r="O151" s="1"/>
      <c r="P151" s="9">
        <v>3000.0</v>
      </c>
      <c r="Q151" s="9">
        <v>1600.0</v>
      </c>
      <c r="R151" s="10"/>
      <c r="S151" s="11">
        <v>45210.0</v>
      </c>
    </row>
    <row r="152" ht="9.0" customHeight="1">
      <c r="A152" s="4" t="s">
        <v>19</v>
      </c>
      <c r="B152" s="4" t="s">
        <v>187</v>
      </c>
      <c r="C152" s="4" t="s">
        <v>187</v>
      </c>
      <c r="D152" s="1" t="s">
        <v>188</v>
      </c>
      <c r="E152" s="4" t="s">
        <v>22</v>
      </c>
      <c r="F152" s="1"/>
      <c r="G152" s="4" t="s">
        <v>206</v>
      </c>
      <c r="H152" s="5"/>
      <c r="I152" s="5"/>
      <c r="J152" s="6"/>
      <c r="K152" s="6"/>
      <c r="L152" s="7"/>
      <c r="M152" s="1"/>
      <c r="N152" s="8">
        <v>0.46</v>
      </c>
      <c r="O152" s="1"/>
      <c r="P152" s="9">
        <v>2600.0</v>
      </c>
      <c r="Q152" s="9">
        <v>1400.0</v>
      </c>
      <c r="R152" s="10"/>
      <c r="S152" s="11">
        <v>44942.0</v>
      </c>
    </row>
    <row r="153" ht="9.0" customHeight="1">
      <c r="A153" s="4" t="s">
        <v>19</v>
      </c>
      <c r="B153" s="4" t="s">
        <v>187</v>
      </c>
      <c r="C153" s="4" t="s">
        <v>187</v>
      </c>
      <c r="D153" s="1" t="s">
        <v>188</v>
      </c>
      <c r="E153" s="4" t="s">
        <v>22</v>
      </c>
      <c r="F153" s="1"/>
      <c r="G153" s="4" t="s">
        <v>207</v>
      </c>
      <c r="H153" s="5"/>
      <c r="I153" s="5"/>
      <c r="J153" s="6"/>
      <c r="K153" s="6"/>
      <c r="L153" s="7"/>
      <c r="M153" s="1"/>
      <c r="N153" s="8">
        <v>0.43</v>
      </c>
      <c r="O153" s="1"/>
      <c r="P153" s="9"/>
      <c r="Q153" s="9"/>
      <c r="R153" s="10">
        <v>2200.0</v>
      </c>
      <c r="S153" s="11">
        <v>45235.0</v>
      </c>
    </row>
    <row r="154" ht="9.0" customHeight="1">
      <c r="A154" s="4" t="s">
        <v>19</v>
      </c>
      <c r="B154" s="4" t="s">
        <v>187</v>
      </c>
      <c r="C154" s="4" t="s">
        <v>187</v>
      </c>
      <c r="D154" s="1" t="s">
        <v>188</v>
      </c>
      <c r="E154" s="5" t="s">
        <v>41</v>
      </c>
      <c r="F154" s="1"/>
      <c r="G154" s="4" t="s">
        <v>208</v>
      </c>
      <c r="H154" s="5"/>
      <c r="I154" s="5"/>
      <c r="J154" s="6"/>
      <c r="K154" s="6"/>
      <c r="L154" s="7" t="s">
        <v>23</v>
      </c>
      <c r="M154" s="1"/>
      <c r="N154" s="8">
        <v>0.46</v>
      </c>
      <c r="O154" s="1"/>
      <c r="P154" s="9">
        <v>1400.0</v>
      </c>
      <c r="Q154" s="9">
        <v>800.0</v>
      </c>
      <c r="R154" s="10"/>
      <c r="S154" s="11">
        <v>45702.0</v>
      </c>
    </row>
    <row r="155" ht="9.0" customHeight="1">
      <c r="A155" s="4" t="s">
        <v>19</v>
      </c>
      <c r="B155" s="4" t="s">
        <v>187</v>
      </c>
      <c r="C155" s="4" t="s">
        <v>187</v>
      </c>
      <c r="D155" s="1" t="s">
        <v>188</v>
      </c>
      <c r="E155" s="5" t="s">
        <v>41</v>
      </c>
      <c r="F155" s="1"/>
      <c r="G155" s="4" t="s">
        <v>209</v>
      </c>
      <c r="H155" s="5" t="s">
        <v>210</v>
      </c>
      <c r="I155" s="5"/>
      <c r="J155" s="6"/>
      <c r="K155" s="6"/>
      <c r="L155" s="7"/>
      <c r="M155" s="1"/>
      <c r="N155" s="8">
        <v>0.46</v>
      </c>
      <c r="O155" s="1"/>
      <c r="P155" s="9">
        <v>2600.0</v>
      </c>
      <c r="Q155" s="9">
        <v>1400.0</v>
      </c>
      <c r="R155" s="10"/>
      <c r="S155" s="11">
        <v>45004.0</v>
      </c>
    </row>
    <row r="156" ht="9.0" customHeight="1">
      <c r="A156" s="4" t="s">
        <v>19</v>
      </c>
      <c r="B156" s="4" t="s">
        <v>187</v>
      </c>
      <c r="C156" s="4" t="s">
        <v>187</v>
      </c>
      <c r="D156" s="1" t="s">
        <v>188</v>
      </c>
      <c r="E156" s="5" t="s">
        <v>41</v>
      </c>
      <c r="F156" s="1"/>
      <c r="G156" s="4" t="s">
        <v>211</v>
      </c>
      <c r="H156" s="5"/>
      <c r="I156" s="5"/>
      <c r="J156" s="6"/>
      <c r="K156" s="6"/>
      <c r="L156" s="7"/>
      <c r="M156" s="1"/>
      <c r="N156" s="8">
        <v>0.46</v>
      </c>
      <c r="O156" s="1"/>
      <c r="P156" s="9">
        <v>2000.0</v>
      </c>
      <c r="Q156" s="9">
        <v>1100.0</v>
      </c>
      <c r="R156" s="10"/>
      <c r="S156" s="11">
        <v>45447.0</v>
      </c>
    </row>
    <row r="157" ht="9.0" customHeight="1">
      <c r="A157" s="4" t="s">
        <v>19</v>
      </c>
      <c r="B157" s="4" t="s">
        <v>187</v>
      </c>
      <c r="C157" s="4" t="s">
        <v>187</v>
      </c>
      <c r="D157" s="1" t="s">
        <v>188</v>
      </c>
      <c r="E157" s="12" t="s">
        <v>212</v>
      </c>
      <c r="F157" s="1"/>
      <c r="G157" s="4" t="s">
        <v>213</v>
      </c>
      <c r="H157" s="5"/>
      <c r="I157" s="5"/>
      <c r="J157" s="6"/>
      <c r="K157" s="6"/>
      <c r="L157" s="7" t="s">
        <v>23</v>
      </c>
      <c r="M157" s="1"/>
      <c r="N157" s="8">
        <v>0.43</v>
      </c>
      <c r="O157" s="1"/>
      <c r="P157" s="9">
        <v>1400.0</v>
      </c>
      <c r="Q157" s="9">
        <v>800.0</v>
      </c>
      <c r="R157" s="10"/>
      <c r="S157" s="11">
        <v>45701.0</v>
      </c>
    </row>
    <row r="158" ht="9.0" customHeight="1">
      <c r="A158" s="4" t="s">
        <v>19</v>
      </c>
      <c r="B158" s="4" t="s">
        <v>187</v>
      </c>
      <c r="C158" s="4" t="s">
        <v>187</v>
      </c>
      <c r="D158" s="1" t="s">
        <v>188</v>
      </c>
      <c r="E158" s="12" t="s">
        <v>212</v>
      </c>
      <c r="F158" s="1"/>
      <c r="G158" s="4" t="s">
        <v>214</v>
      </c>
      <c r="H158" s="5"/>
      <c r="I158" s="5"/>
      <c r="J158" s="6"/>
      <c r="K158" s="6"/>
      <c r="L158" s="7"/>
      <c r="M158" s="1"/>
      <c r="N158" s="8">
        <v>0.5</v>
      </c>
      <c r="O158" s="1"/>
      <c r="P158" s="9"/>
      <c r="Q158" s="9"/>
      <c r="R158" s="10">
        <v>2500.0</v>
      </c>
      <c r="S158" s="11">
        <v>44900.0</v>
      </c>
    </row>
    <row r="159" ht="9.0" customHeight="1">
      <c r="A159" s="4" t="s">
        <v>19</v>
      </c>
      <c r="B159" s="4" t="s">
        <v>187</v>
      </c>
      <c r="C159" s="4" t="s">
        <v>187</v>
      </c>
      <c r="D159" s="1"/>
      <c r="E159" s="4" t="s">
        <v>44</v>
      </c>
      <c r="F159" s="1"/>
      <c r="G159" s="4" t="s">
        <v>215</v>
      </c>
      <c r="H159" s="5"/>
      <c r="I159" s="5"/>
      <c r="J159" s="6"/>
      <c r="K159" s="6"/>
      <c r="L159" s="7" t="s">
        <v>23</v>
      </c>
      <c r="M159" s="1"/>
      <c r="N159" s="8">
        <v>0.5</v>
      </c>
      <c r="O159" s="1"/>
      <c r="P159" s="9">
        <v>1200.0</v>
      </c>
      <c r="Q159" s="9">
        <v>700.0</v>
      </c>
      <c r="R159" s="10"/>
      <c r="S159" s="4"/>
    </row>
    <row r="160" ht="9.0" customHeight="1">
      <c r="A160" s="4" t="s">
        <v>19</v>
      </c>
      <c r="B160" s="4" t="s">
        <v>187</v>
      </c>
      <c r="C160" s="4" t="s">
        <v>187</v>
      </c>
      <c r="D160" s="1"/>
      <c r="E160" s="4" t="s">
        <v>44</v>
      </c>
      <c r="F160" s="1"/>
      <c r="G160" s="4" t="s">
        <v>216</v>
      </c>
      <c r="H160" s="5"/>
      <c r="I160" s="5"/>
      <c r="J160" s="6"/>
      <c r="K160" s="6"/>
      <c r="L160" s="7"/>
      <c r="M160" s="1"/>
      <c r="N160" s="8">
        <v>0.5</v>
      </c>
      <c r="O160" s="1"/>
      <c r="P160" s="9">
        <v>1400.0</v>
      </c>
      <c r="Q160" s="9">
        <v>800.0</v>
      </c>
      <c r="R160" s="10"/>
      <c r="S160" s="4"/>
    </row>
    <row r="161" ht="9.0" customHeight="1">
      <c r="A161" s="4" t="s">
        <v>19</v>
      </c>
      <c r="B161" s="4" t="s">
        <v>187</v>
      </c>
      <c r="C161" s="4" t="s">
        <v>187</v>
      </c>
      <c r="D161" s="1"/>
      <c r="E161" s="4" t="s">
        <v>44</v>
      </c>
      <c r="F161" s="1"/>
      <c r="G161" s="4" t="s">
        <v>217</v>
      </c>
      <c r="H161" s="5"/>
      <c r="I161" s="5"/>
      <c r="J161" s="6"/>
      <c r="K161" s="6"/>
      <c r="L161" s="7"/>
      <c r="M161" s="1"/>
      <c r="N161" s="8">
        <v>0.5</v>
      </c>
      <c r="O161" s="1"/>
      <c r="P161" s="9">
        <v>1400.0</v>
      </c>
      <c r="Q161" s="9">
        <v>800.0</v>
      </c>
      <c r="R161" s="10"/>
      <c r="S161" s="4"/>
    </row>
    <row r="162" ht="9.0" customHeight="1">
      <c r="A162" s="4" t="s">
        <v>19</v>
      </c>
      <c r="B162" s="4" t="s">
        <v>187</v>
      </c>
      <c r="C162" s="4" t="s">
        <v>187</v>
      </c>
      <c r="D162" s="1"/>
      <c r="E162" s="4" t="s">
        <v>44</v>
      </c>
      <c r="F162" s="1"/>
      <c r="G162" s="4" t="s">
        <v>218</v>
      </c>
      <c r="H162" s="5"/>
      <c r="I162" s="5"/>
      <c r="J162" s="6"/>
      <c r="K162" s="6"/>
      <c r="L162" s="7"/>
      <c r="M162" s="1"/>
      <c r="N162" s="8">
        <v>0.43</v>
      </c>
      <c r="O162" s="1"/>
      <c r="P162" s="9">
        <v>3500.0</v>
      </c>
      <c r="Q162" s="9">
        <v>1900.0</v>
      </c>
      <c r="R162" s="10"/>
      <c r="S162" s="11">
        <v>45192.0</v>
      </c>
    </row>
    <row r="163" ht="9.0" customHeight="1">
      <c r="A163" s="4" t="s">
        <v>19</v>
      </c>
      <c r="B163" s="4" t="s">
        <v>187</v>
      </c>
      <c r="C163" s="4" t="s">
        <v>187</v>
      </c>
      <c r="D163" s="1"/>
      <c r="E163" s="4" t="s">
        <v>44</v>
      </c>
      <c r="F163" s="1"/>
      <c r="G163" s="4" t="s">
        <v>219</v>
      </c>
      <c r="H163" s="5"/>
      <c r="I163" s="5"/>
      <c r="J163" s="6"/>
      <c r="K163" s="6"/>
      <c r="L163" s="7"/>
      <c r="M163" s="1"/>
      <c r="N163" s="8">
        <v>0.37</v>
      </c>
      <c r="O163" s="1"/>
      <c r="P163" s="9">
        <v>1100.0</v>
      </c>
      <c r="Q163" s="9">
        <v>650.0</v>
      </c>
      <c r="R163" s="10"/>
      <c r="S163" s="4"/>
    </row>
    <row r="164" ht="9.0" customHeight="1">
      <c r="A164" s="4" t="s">
        <v>19</v>
      </c>
      <c r="B164" s="4" t="s">
        <v>187</v>
      </c>
      <c r="C164" s="4" t="s">
        <v>187</v>
      </c>
      <c r="D164" s="1"/>
      <c r="E164" s="4" t="s">
        <v>44</v>
      </c>
      <c r="F164" s="1"/>
      <c r="G164" s="4" t="s">
        <v>220</v>
      </c>
      <c r="H164" s="5" t="s">
        <v>221</v>
      </c>
      <c r="I164" s="5"/>
      <c r="J164" s="6"/>
      <c r="K164" s="6"/>
      <c r="L164" s="7"/>
      <c r="M164" s="1"/>
      <c r="N164" s="8">
        <v>0.4</v>
      </c>
      <c r="O164" s="1"/>
      <c r="P164" s="9">
        <v>1300.0</v>
      </c>
      <c r="Q164" s="9">
        <v>750.0</v>
      </c>
      <c r="R164" s="10"/>
      <c r="S164" s="4"/>
    </row>
    <row r="165" ht="9.0" customHeight="1">
      <c r="A165" s="4" t="s">
        <v>19</v>
      </c>
      <c r="B165" s="4" t="s">
        <v>187</v>
      </c>
      <c r="C165" s="4" t="s">
        <v>187</v>
      </c>
      <c r="D165" s="1"/>
      <c r="E165" s="4" t="s">
        <v>44</v>
      </c>
      <c r="F165" s="1"/>
      <c r="G165" s="4" t="s">
        <v>222</v>
      </c>
      <c r="H165" s="5"/>
      <c r="I165" s="5"/>
      <c r="J165" s="6"/>
      <c r="K165" s="6"/>
      <c r="L165" s="7" t="s">
        <v>23</v>
      </c>
      <c r="M165" s="1"/>
      <c r="N165" s="8">
        <v>0.5</v>
      </c>
      <c r="O165" s="1"/>
      <c r="P165" s="9">
        <v>1000.0</v>
      </c>
      <c r="Q165" s="9">
        <v>600.0</v>
      </c>
      <c r="R165" s="10"/>
      <c r="S165" s="4"/>
    </row>
    <row r="166" ht="9.0" customHeight="1">
      <c r="A166" s="4" t="s">
        <v>19</v>
      </c>
      <c r="B166" s="12" t="s">
        <v>223</v>
      </c>
      <c r="C166" s="12" t="s">
        <v>223</v>
      </c>
      <c r="D166" s="1"/>
      <c r="E166" s="4" t="s">
        <v>44</v>
      </c>
      <c r="F166" s="1"/>
      <c r="G166" s="4" t="s">
        <v>224</v>
      </c>
      <c r="H166" s="5" t="s">
        <v>64</v>
      </c>
      <c r="I166" s="5"/>
      <c r="J166" s="6"/>
      <c r="K166" s="6"/>
      <c r="L166" s="7"/>
      <c r="M166" s="1"/>
      <c r="N166" s="8">
        <v>0.43</v>
      </c>
      <c r="O166" s="1"/>
      <c r="P166" s="9">
        <v>1400.0</v>
      </c>
      <c r="Q166" s="9">
        <v>800.0</v>
      </c>
      <c r="R166" s="10"/>
      <c r="S166" s="11">
        <v>45712.0</v>
      </c>
    </row>
    <row r="167" ht="9.0" customHeight="1">
      <c r="A167" s="4" t="s">
        <v>19</v>
      </c>
      <c r="B167" s="12" t="s">
        <v>223</v>
      </c>
      <c r="C167" s="12" t="s">
        <v>223</v>
      </c>
      <c r="D167" s="1"/>
      <c r="E167" s="4" t="s">
        <v>44</v>
      </c>
      <c r="F167" s="1"/>
      <c r="G167" s="4" t="s">
        <v>225</v>
      </c>
      <c r="H167" s="5" t="s">
        <v>64</v>
      </c>
      <c r="I167" s="5"/>
      <c r="J167" s="6"/>
      <c r="K167" s="6"/>
      <c r="L167" s="7"/>
      <c r="M167" s="1"/>
      <c r="N167" s="8">
        <v>0.43</v>
      </c>
      <c r="O167" s="1"/>
      <c r="P167" s="9">
        <v>1500.0</v>
      </c>
      <c r="Q167" s="9">
        <v>850.0</v>
      </c>
      <c r="R167" s="10"/>
      <c r="S167" s="4"/>
    </row>
    <row r="168" ht="9.0" customHeight="1">
      <c r="A168" s="4" t="s">
        <v>19</v>
      </c>
      <c r="B168" s="12" t="s">
        <v>223</v>
      </c>
      <c r="C168" s="12" t="s">
        <v>223</v>
      </c>
      <c r="D168" s="1"/>
      <c r="E168" s="4" t="s">
        <v>44</v>
      </c>
      <c r="F168" s="1"/>
      <c r="G168" s="4" t="s">
        <v>226</v>
      </c>
      <c r="H168" s="5" t="s">
        <v>64</v>
      </c>
      <c r="I168" s="5"/>
      <c r="J168" s="6"/>
      <c r="K168" s="6"/>
      <c r="L168" s="7"/>
      <c r="M168" s="1"/>
      <c r="N168" s="8">
        <v>0.43</v>
      </c>
      <c r="O168" s="1"/>
      <c r="P168" s="9">
        <v>1400.0</v>
      </c>
      <c r="Q168" s="9">
        <v>800.0</v>
      </c>
      <c r="R168" s="10"/>
      <c r="S168" s="11">
        <v>45727.0</v>
      </c>
    </row>
    <row r="169" ht="9.0" customHeight="1">
      <c r="A169" s="4" t="s">
        <v>19</v>
      </c>
      <c r="B169" s="12" t="s">
        <v>223</v>
      </c>
      <c r="C169" s="12" t="s">
        <v>223</v>
      </c>
      <c r="D169" s="1"/>
      <c r="E169" s="4" t="s">
        <v>44</v>
      </c>
      <c r="F169" s="1"/>
      <c r="G169" s="4" t="s">
        <v>227</v>
      </c>
      <c r="H169" s="5" t="s">
        <v>79</v>
      </c>
      <c r="I169" s="5"/>
      <c r="J169" s="6"/>
      <c r="K169" s="6"/>
      <c r="L169" s="7"/>
      <c r="M169" s="1"/>
      <c r="N169" s="8">
        <v>0.4</v>
      </c>
      <c r="O169" s="1"/>
      <c r="P169" s="9">
        <v>1300.0</v>
      </c>
      <c r="Q169" s="9">
        <v>750.0</v>
      </c>
      <c r="R169" s="10"/>
      <c r="S169" s="11">
        <v>45255.0</v>
      </c>
    </row>
    <row r="170" ht="9.0" customHeight="1">
      <c r="A170" s="4" t="s">
        <v>19</v>
      </c>
      <c r="B170" s="12" t="s">
        <v>223</v>
      </c>
      <c r="C170" s="12" t="s">
        <v>223</v>
      </c>
      <c r="D170" s="1"/>
      <c r="E170" s="4" t="s">
        <v>44</v>
      </c>
      <c r="F170" s="1"/>
      <c r="G170" s="4" t="s">
        <v>228</v>
      </c>
      <c r="H170" s="5" t="s">
        <v>79</v>
      </c>
      <c r="I170" s="5"/>
      <c r="J170" s="6"/>
      <c r="K170" s="6"/>
      <c r="L170" s="7"/>
      <c r="M170" s="1"/>
      <c r="N170" s="8">
        <v>0.43</v>
      </c>
      <c r="O170" s="1"/>
      <c r="P170" s="9">
        <v>1300.0</v>
      </c>
      <c r="Q170" s="9">
        <v>750.0</v>
      </c>
      <c r="R170" s="10"/>
      <c r="S170" s="11">
        <v>45710.0</v>
      </c>
    </row>
    <row r="171" ht="9.0" customHeight="1">
      <c r="A171" s="4" t="s">
        <v>19</v>
      </c>
      <c r="B171" s="12" t="s">
        <v>223</v>
      </c>
      <c r="C171" s="12" t="s">
        <v>223</v>
      </c>
      <c r="D171" s="1"/>
      <c r="E171" s="4" t="s">
        <v>44</v>
      </c>
      <c r="F171" s="1"/>
      <c r="G171" s="4" t="s">
        <v>229</v>
      </c>
      <c r="H171" s="5" t="s">
        <v>79</v>
      </c>
      <c r="I171" s="5"/>
      <c r="J171" s="6"/>
      <c r="K171" s="6"/>
      <c r="L171" s="7"/>
      <c r="M171" s="1"/>
      <c r="N171" s="8">
        <v>0.42</v>
      </c>
      <c r="O171" s="1"/>
      <c r="P171" s="9">
        <v>1300.0</v>
      </c>
      <c r="Q171" s="9">
        <v>750.0</v>
      </c>
      <c r="R171" s="10"/>
      <c r="S171" s="11">
        <v>45422.0</v>
      </c>
    </row>
    <row r="172" ht="9.0" customHeight="1">
      <c r="A172" s="4" t="s">
        <v>19</v>
      </c>
      <c r="B172" s="12" t="s">
        <v>223</v>
      </c>
      <c r="C172" s="12" t="s">
        <v>223</v>
      </c>
      <c r="D172" s="1"/>
      <c r="E172" s="4" t="s">
        <v>44</v>
      </c>
      <c r="F172" s="1"/>
      <c r="G172" s="4" t="s">
        <v>230</v>
      </c>
      <c r="H172" s="5" t="s">
        <v>79</v>
      </c>
      <c r="I172" s="5"/>
      <c r="J172" s="6"/>
      <c r="K172" s="6"/>
      <c r="L172" s="7"/>
      <c r="M172" s="1"/>
      <c r="N172" s="8">
        <v>0.4</v>
      </c>
      <c r="O172" s="1"/>
      <c r="P172" s="9">
        <v>1300.0</v>
      </c>
      <c r="Q172" s="9">
        <v>750.0</v>
      </c>
      <c r="R172" s="10"/>
      <c r="S172" s="11">
        <v>45690.0</v>
      </c>
    </row>
    <row r="173" ht="9.0" customHeight="1">
      <c r="A173" s="4" t="s">
        <v>19</v>
      </c>
      <c r="B173" s="12" t="s">
        <v>223</v>
      </c>
      <c r="C173" s="12" t="s">
        <v>223</v>
      </c>
      <c r="D173" s="1"/>
      <c r="E173" s="4" t="s">
        <v>44</v>
      </c>
      <c r="F173" s="1"/>
      <c r="G173" s="4" t="s">
        <v>231</v>
      </c>
      <c r="H173" s="5" t="s">
        <v>64</v>
      </c>
      <c r="I173" s="5"/>
      <c r="J173" s="6"/>
      <c r="K173" s="6"/>
      <c r="L173" s="7"/>
      <c r="M173" s="1"/>
      <c r="N173" s="8">
        <v>0.43</v>
      </c>
      <c r="O173" s="1"/>
      <c r="P173" s="9">
        <v>1500.0</v>
      </c>
      <c r="Q173" s="9">
        <v>850.0</v>
      </c>
      <c r="R173" s="10"/>
      <c r="S173" s="4"/>
    </row>
    <row r="174" ht="9.0" customHeight="1">
      <c r="A174" s="4" t="s">
        <v>19</v>
      </c>
      <c r="B174" s="12" t="s">
        <v>223</v>
      </c>
      <c r="C174" s="12" t="s">
        <v>223</v>
      </c>
      <c r="D174" s="1"/>
      <c r="E174" s="4" t="s">
        <v>44</v>
      </c>
      <c r="F174" s="1"/>
      <c r="G174" s="4" t="s">
        <v>232</v>
      </c>
      <c r="H174" s="5" t="s">
        <v>79</v>
      </c>
      <c r="I174" s="5"/>
      <c r="J174" s="6"/>
      <c r="K174" s="6"/>
      <c r="L174" s="7"/>
      <c r="M174" s="1"/>
      <c r="N174" s="8">
        <v>0.4</v>
      </c>
      <c r="O174" s="1"/>
      <c r="P174" s="9">
        <v>1300.0</v>
      </c>
      <c r="Q174" s="9">
        <v>750.0</v>
      </c>
      <c r="R174" s="10"/>
      <c r="S174" s="4"/>
    </row>
    <row r="175" ht="9.0" customHeight="1">
      <c r="A175" s="4" t="s">
        <v>19</v>
      </c>
      <c r="B175" s="4" t="s">
        <v>233</v>
      </c>
      <c r="C175" s="4" t="s">
        <v>233</v>
      </c>
      <c r="D175" s="1" t="s">
        <v>234</v>
      </c>
      <c r="E175" s="4" t="s">
        <v>92</v>
      </c>
      <c r="F175" s="1" t="s">
        <v>235</v>
      </c>
      <c r="G175" s="4" t="s">
        <v>236</v>
      </c>
      <c r="H175" s="5" t="s">
        <v>237</v>
      </c>
      <c r="I175" s="5"/>
      <c r="J175" s="6" t="s">
        <v>191</v>
      </c>
      <c r="K175" s="6" t="s">
        <v>238</v>
      </c>
      <c r="L175" s="7"/>
      <c r="M175" s="1"/>
      <c r="N175" s="22">
        <v>0.597</v>
      </c>
      <c r="O175" s="1"/>
      <c r="P175" s="9">
        <v>3500.0</v>
      </c>
      <c r="Q175" s="9">
        <v>1900.0</v>
      </c>
      <c r="R175" s="10"/>
      <c r="S175" s="4"/>
    </row>
    <row r="176" ht="9.0" customHeight="1">
      <c r="A176" s="4" t="s">
        <v>19</v>
      </c>
      <c r="B176" s="4" t="s">
        <v>233</v>
      </c>
      <c r="C176" s="4" t="s">
        <v>233</v>
      </c>
      <c r="D176" s="1" t="s">
        <v>234</v>
      </c>
      <c r="E176" s="4" t="s">
        <v>92</v>
      </c>
      <c r="F176" s="1" t="s">
        <v>239</v>
      </c>
      <c r="G176" s="4" t="s">
        <v>240</v>
      </c>
      <c r="H176" s="5" t="s">
        <v>237</v>
      </c>
      <c r="I176" s="5"/>
      <c r="J176" s="6"/>
      <c r="K176" s="6" t="s">
        <v>238</v>
      </c>
      <c r="L176" s="7"/>
      <c r="M176" s="1"/>
      <c r="N176" s="8">
        <v>0.59</v>
      </c>
      <c r="O176" s="1"/>
      <c r="P176" s="9">
        <v>3500.0</v>
      </c>
      <c r="Q176" s="9">
        <v>1900.0</v>
      </c>
      <c r="R176" s="10"/>
      <c r="S176" s="11">
        <v>44993.0</v>
      </c>
    </row>
    <row r="177" ht="9.0" customHeight="1">
      <c r="A177" s="4" t="s">
        <v>19</v>
      </c>
      <c r="B177" s="4" t="s">
        <v>233</v>
      </c>
      <c r="C177" s="4" t="s">
        <v>233</v>
      </c>
      <c r="D177" s="1" t="s">
        <v>234</v>
      </c>
      <c r="E177" s="4" t="s">
        <v>92</v>
      </c>
      <c r="F177" s="1" t="s">
        <v>241</v>
      </c>
      <c r="G177" s="4" t="s">
        <v>242</v>
      </c>
      <c r="H177" s="5" t="s">
        <v>243</v>
      </c>
      <c r="I177" s="5"/>
      <c r="J177" s="6" t="s">
        <v>191</v>
      </c>
      <c r="K177" s="6" t="s">
        <v>244</v>
      </c>
      <c r="L177" s="7"/>
      <c r="M177" s="1"/>
      <c r="N177" s="22">
        <v>0.621</v>
      </c>
      <c r="O177" s="1">
        <v>227.0</v>
      </c>
      <c r="P177" s="9">
        <v>3000.0</v>
      </c>
      <c r="Q177" s="9">
        <v>1600.0</v>
      </c>
      <c r="R177" s="10"/>
      <c r="S177" s="11">
        <v>44980.0</v>
      </c>
    </row>
    <row r="178" ht="9.0" customHeight="1">
      <c r="A178" s="4" t="s">
        <v>19</v>
      </c>
      <c r="B178" s="4" t="s">
        <v>233</v>
      </c>
      <c r="C178" s="4" t="s">
        <v>233</v>
      </c>
      <c r="D178" s="1" t="s">
        <v>234</v>
      </c>
      <c r="E178" s="4" t="s">
        <v>92</v>
      </c>
      <c r="F178" s="1" t="s">
        <v>245</v>
      </c>
      <c r="G178" s="4" t="s">
        <v>242</v>
      </c>
      <c r="H178" s="5" t="s">
        <v>246</v>
      </c>
      <c r="I178" s="5"/>
      <c r="J178" s="6" t="s">
        <v>191</v>
      </c>
      <c r="K178" s="6" t="s">
        <v>247</v>
      </c>
      <c r="L178" s="7"/>
      <c r="M178" s="1"/>
      <c r="N178" s="22">
        <v>0.624</v>
      </c>
      <c r="O178" s="1">
        <v>239.0</v>
      </c>
      <c r="P178" s="9">
        <v>3000.0</v>
      </c>
      <c r="Q178" s="9">
        <v>1600.0</v>
      </c>
      <c r="R178" s="10"/>
      <c r="S178" s="11">
        <v>45460.0</v>
      </c>
    </row>
    <row r="179" ht="9.0" customHeight="1">
      <c r="A179" s="4" t="s">
        <v>19</v>
      </c>
      <c r="B179" s="4" t="s">
        <v>233</v>
      </c>
      <c r="C179" s="4" t="s">
        <v>233</v>
      </c>
      <c r="D179" s="1" t="s">
        <v>234</v>
      </c>
      <c r="E179" s="4" t="s">
        <v>92</v>
      </c>
      <c r="F179" s="1" t="s">
        <v>248</v>
      </c>
      <c r="G179" s="4" t="s">
        <v>249</v>
      </c>
      <c r="H179" s="5" t="s">
        <v>250</v>
      </c>
      <c r="I179" s="5"/>
      <c r="J179" s="6" t="s">
        <v>191</v>
      </c>
      <c r="K179" s="6" t="s">
        <v>251</v>
      </c>
      <c r="L179" s="7"/>
      <c r="M179" s="1"/>
      <c r="N179" s="8">
        <v>0.62</v>
      </c>
      <c r="O179" s="1">
        <v>221.0</v>
      </c>
      <c r="P179" s="9">
        <v>3000.0</v>
      </c>
      <c r="Q179" s="9">
        <v>1600.0</v>
      </c>
      <c r="R179" s="10"/>
      <c r="S179" s="11">
        <v>45456.0</v>
      </c>
    </row>
    <row r="180" ht="9.0" customHeight="1">
      <c r="A180" s="4" t="s">
        <v>19</v>
      </c>
      <c r="B180" s="4" t="s">
        <v>233</v>
      </c>
      <c r="C180" s="4" t="s">
        <v>233</v>
      </c>
      <c r="D180" s="1" t="s">
        <v>234</v>
      </c>
      <c r="E180" s="4" t="s">
        <v>92</v>
      </c>
      <c r="F180" s="1" t="s">
        <v>252</v>
      </c>
      <c r="G180" s="4" t="s">
        <v>253</v>
      </c>
      <c r="H180" s="5" t="s">
        <v>254</v>
      </c>
      <c r="I180" s="5"/>
      <c r="J180" s="6" t="s">
        <v>191</v>
      </c>
      <c r="K180" s="6" t="s">
        <v>255</v>
      </c>
      <c r="L180" s="23"/>
      <c r="M180" s="1"/>
      <c r="N180" s="8">
        <v>0.62</v>
      </c>
      <c r="O180" s="1">
        <v>213.0</v>
      </c>
      <c r="P180" s="9">
        <v>3500.0</v>
      </c>
      <c r="Q180" s="9">
        <v>1900.0</v>
      </c>
      <c r="R180" s="10"/>
      <c r="S180" s="11">
        <v>45462.0</v>
      </c>
    </row>
    <row r="181" ht="9.0" customHeight="1">
      <c r="A181" s="4" t="s">
        <v>19</v>
      </c>
      <c r="B181" s="4" t="s">
        <v>233</v>
      </c>
      <c r="C181" s="4" t="s">
        <v>233</v>
      </c>
      <c r="D181" s="1" t="s">
        <v>234</v>
      </c>
      <c r="E181" s="4" t="s">
        <v>92</v>
      </c>
      <c r="F181" s="1" t="s">
        <v>256</v>
      </c>
      <c r="G181" s="4" t="s">
        <v>253</v>
      </c>
      <c r="H181" s="5" t="s">
        <v>257</v>
      </c>
      <c r="I181" s="5"/>
      <c r="J181" s="6" t="s">
        <v>191</v>
      </c>
      <c r="K181" s="6" t="s">
        <v>258</v>
      </c>
      <c r="L181" s="7"/>
      <c r="M181" s="1"/>
      <c r="N181" s="22">
        <v>0.624</v>
      </c>
      <c r="O181" s="1">
        <v>205.0</v>
      </c>
      <c r="P181" s="9">
        <v>3500.0</v>
      </c>
      <c r="Q181" s="9">
        <v>1900.0</v>
      </c>
      <c r="R181" s="10"/>
      <c r="S181" s="11">
        <v>45464.0</v>
      </c>
    </row>
    <row r="182" ht="9.0" customHeight="1">
      <c r="A182" s="4" t="s">
        <v>19</v>
      </c>
      <c r="B182" s="4" t="s">
        <v>233</v>
      </c>
      <c r="C182" s="4" t="s">
        <v>233</v>
      </c>
      <c r="D182" s="1" t="s">
        <v>234</v>
      </c>
      <c r="E182" s="4" t="s">
        <v>92</v>
      </c>
      <c r="F182" s="1" t="s">
        <v>259</v>
      </c>
      <c r="G182" s="4" t="s">
        <v>260</v>
      </c>
      <c r="H182" s="5" t="s">
        <v>261</v>
      </c>
      <c r="I182" s="5"/>
      <c r="J182" s="6" t="s">
        <v>191</v>
      </c>
      <c r="K182" s="6" t="s">
        <v>262</v>
      </c>
      <c r="L182" s="7"/>
      <c r="M182" s="1"/>
      <c r="N182" s="22">
        <v>0.618</v>
      </c>
      <c r="O182" s="1">
        <v>194.0</v>
      </c>
      <c r="P182" s="9">
        <v>3500.0</v>
      </c>
      <c r="Q182" s="9">
        <v>1900.0</v>
      </c>
      <c r="R182" s="10"/>
      <c r="S182" s="11">
        <v>45465.0</v>
      </c>
    </row>
    <row r="183" ht="9.0" customHeight="1">
      <c r="A183" s="4" t="s">
        <v>19</v>
      </c>
      <c r="B183" s="4" t="s">
        <v>233</v>
      </c>
      <c r="C183" s="4" t="s">
        <v>233</v>
      </c>
      <c r="D183" s="1" t="s">
        <v>234</v>
      </c>
      <c r="E183" s="4" t="s">
        <v>92</v>
      </c>
      <c r="F183" s="1" t="s">
        <v>263</v>
      </c>
      <c r="G183" s="4" t="s">
        <v>264</v>
      </c>
      <c r="H183" s="5" t="s">
        <v>257</v>
      </c>
      <c r="I183" s="5"/>
      <c r="J183" s="6" t="s">
        <v>265</v>
      </c>
      <c r="K183" s="6" t="s">
        <v>266</v>
      </c>
      <c r="L183" s="7"/>
      <c r="M183" s="1"/>
      <c r="N183" s="8">
        <v>0.64</v>
      </c>
      <c r="O183" s="1">
        <v>274.0</v>
      </c>
      <c r="P183" s="9">
        <v>4000.0</v>
      </c>
      <c r="Q183" s="9">
        <v>2200.0</v>
      </c>
      <c r="R183" s="10"/>
      <c r="S183" s="11">
        <v>45663.0</v>
      </c>
    </row>
    <row r="184" ht="9.0" customHeight="1">
      <c r="A184" s="4" t="s">
        <v>19</v>
      </c>
      <c r="B184" s="4" t="s">
        <v>233</v>
      </c>
      <c r="C184" s="4" t="s">
        <v>233</v>
      </c>
      <c r="D184" s="1" t="s">
        <v>234</v>
      </c>
      <c r="E184" s="4" t="s">
        <v>92</v>
      </c>
      <c r="F184" s="1" t="s">
        <v>267</v>
      </c>
      <c r="G184" s="4" t="s">
        <v>268</v>
      </c>
      <c r="H184" s="12" t="s">
        <v>269</v>
      </c>
      <c r="I184" s="12"/>
      <c r="J184" s="6" t="s">
        <v>191</v>
      </c>
      <c r="K184" s="6" t="s">
        <v>270</v>
      </c>
      <c r="L184" s="6"/>
      <c r="M184" s="1"/>
      <c r="N184" s="8">
        <v>0.63</v>
      </c>
      <c r="O184" s="24">
        <v>216.0</v>
      </c>
      <c r="P184" s="9">
        <v>3500.0</v>
      </c>
      <c r="Q184" s="9">
        <v>1900.0</v>
      </c>
      <c r="R184" s="10"/>
      <c r="S184" s="11">
        <v>44967.0</v>
      </c>
    </row>
    <row r="185" ht="9.0" customHeight="1">
      <c r="A185" s="4" t="s">
        <v>19</v>
      </c>
      <c r="B185" s="4" t="s">
        <v>233</v>
      </c>
      <c r="C185" s="4" t="s">
        <v>233</v>
      </c>
      <c r="D185" s="1" t="s">
        <v>234</v>
      </c>
      <c r="E185" s="4" t="s">
        <v>92</v>
      </c>
      <c r="F185" s="1" t="s">
        <v>271</v>
      </c>
      <c r="G185" s="4" t="s">
        <v>272</v>
      </c>
      <c r="H185" s="12" t="s">
        <v>273</v>
      </c>
      <c r="I185" s="12"/>
      <c r="J185" s="6" t="s">
        <v>274</v>
      </c>
      <c r="K185" s="6" t="s">
        <v>275</v>
      </c>
      <c r="L185" s="6"/>
      <c r="M185" s="1"/>
      <c r="N185" s="8">
        <v>0.62</v>
      </c>
      <c r="O185" s="24">
        <v>259.0</v>
      </c>
      <c r="P185" s="9">
        <v>3500.0</v>
      </c>
      <c r="Q185" s="9">
        <v>1900.0</v>
      </c>
      <c r="R185" s="10"/>
      <c r="S185" s="11">
        <v>44968.0</v>
      </c>
    </row>
    <row r="186" ht="9.0" customHeight="1">
      <c r="A186" s="4" t="s">
        <v>19</v>
      </c>
      <c r="B186" s="4" t="s">
        <v>233</v>
      </c>
      <c r="C186" s="4" t="s">
        <v>233</v>
      </c>
      <c r="D186" s="1" t="s">
        <v>234</v>
      </c>
      <c r="E186" s="4" t="s">
        <v>92</v>
      </c>
      <c r="F186" s="1" t="s">
        <v>276</v>
      </c>
      <c r="G186" s="4" t="s">
        <v>277</v>
      </c>
      <c r="H186" s="5"/>
      <c r="I186" s="5"/>
      <c r="J186" s="6" t="s">
        <v>278</v>
      </c>
      <c r="K186" s="6" t="s">
        <v>279</v>
      </c>
      <c r="L186" s="7"/>
      <c r="M186" s="1"/>
      <c r="N186" s="22">
        <v>0.629</v>
      </c>
      <c r="O186" s="1">
        <v>357.0</v>
      </c>
      <c r="P186" s="9">
        <v>2000.0</v>
      </c>
      <c r="Q186" s="9">
        <v>1100.0</v>
      </c>
      <c r="R186" s="10"/>
      <c r="S186" s="11">
        <v>45059.0</v>
      </c>
    </row>
    <row r="187" ht="9.0" customHeight="1">
      <c r="A187" s="4" t="s">
        <v>19</v>
      </c>
      <c r="B187" s="4" t="s">
        <v>233</v>
      </c>
      <c r="C187" s="4" t="s">
        <v>233</v>
      </c>
      <c r="D187" s="1"/>
      <c r="E187" s="25" t="s">
        <v>280</v>
      </c>
      <c r="F187" s="1"/>
      <c r="G187" s="4" t="s">
        <v>281</v>
      </c>
      <c r="H187" s="5"/>
      <c r="I187" s="5"/>
      <c r="J187" s="6"/>
      <c r="K187" s="6"/>
      <c r="L187" s="7"/>
      <c r="M187" s="1"/>
      <c r="N187" s="22">
        <v>0.591</v>
      </c>
      <c r="O187" s="1">
        <v>246.0</v>
      </c>
      <c r="P187" s="9">
        <v>3000.0</v>
      </c>
      <c r="Q187" s="9">
        <v>1600.0</v>
      </c>
      <c r="R187" s="10"/>
      <c r="S187" s="11">
        <v>45472.0</v>
      </c>
    </row>
    <row r="188" ht="9.0" customHeight="1">
      <c r="A188" s="4" t="s">
        <v>19</v>
      </c>
      <c r="B188" s="4" t="s">
        <v>233</v>
      </c>
      <c r="C188" s="4" t="s">
        <v>233</v>
      </c>
      <c r="D188" s="1"/>
      <c r="E188" s="25" t="s">
        <v>280</v>
      </c>
      <c r="F188" s="1"/>
      <c r="G188" s="4" t="s">
        <v>282</v>
      </c>
      <c r="H188" s="5"/>
      <c r="I188" s="5"/>
      <c r="J188" s="6"/>
      <c r="K188" s="6"/>
      <c r="L188" s="7"/>
      <c r="M188" s="1"/>
      <c r="N188" s="8">
        <v>0.58</v>
      </c>
      <c r="O188" s="1">
        <v>313.0</v>
      </c>
      <c r="P188" s="9">
        <v>3000.0</v>
      </c>
      <c r="Q188" s="9">
        <v>1600.0</v>
      </c>
      <c r="R188" s="10"/>
      <c r="S188" s="11">
        <v>45473.0</v>
      </c>
    </row>
    <row r="189" ht="9.0" customHeight="1">
      <c r="A189" s="4" t="s">
        <v>19</v>
      </c>
      <c r="B189" s="4" t="s">
        <v>233</v>
      </c>
      <c r="C189" s="4" t="s">
        <v>233</v>
      </c>
      <c r="D189" s="1"/>
      <c r="E189" s="25" t="s">
        <v>280</v>
      </c>
      <c r="F189" s="1" t="s">
        <v>283</v>
      </c>
      <c r="G189" s="4" t="s">
        <v>284</v>
      </c>
      <c r="H189" s="5" t="s">
        <v>285</v>
      </c>
      <c r="I189" s="5"/>
      <c r="J189" s="6" t="s">
        <v>191</v>
      </c>
      <c r="K189" s="6" t="s">
        <v>286</v>
      </c>
      <c r="L189" s="7"/>
      <c r="M189" s="1"/>
      <c r="N189" s="8">
        <v>0.59</v>
      </c>
      <c r="O189" s="1">
        <v>250.0</v>
      </c>
      <c r="P189" s="9">
        <v>3000.0</v>
      </c>
      <c r="Q189" s="9">
        <v>1600.0</v>
      </c>
      <c r="R189" s="10"/>
      <c r="S189" s="11">
        <v>45001.0</v>
      </c>
    </row>
    <row r="190" ht="9.0" customHeight="1">
      <c r="A190" s="4" t="s">
        <v>19</v>
      </c>
      <c r="B190" s="4" t="s">
        <v>233</v>
      </c>
      <c r="C190" s="4" t="s">
        <v>233</v>
      </c>
      <c r="D190" s="1"/>
      <c r="E190" s="25" t="s">
        <v>280</v>
      </c>
      <c r="F190" s="1" t="s">
        <v>287</v>
      </c>
      <c r="G190" s="4" t="s">
        <v>284</v>
      </c>
      <c r="H190" s="5" t="s">
        <v>288</v>
      </c>
      <c r="I190" s="5"/>
      <c r="J190" s="6" t="s">
        <v>191</v>
      </c>
      <c r="K190" s="6" t="s">
        <v>289</v>
      </c>
      <c r="L190" s="7"/>
      <c r="M190" s="1"/>
      <c r="N190" s="8">
        <v>0.59</v>
      </c>
      <c r="O190" s="1">
        <v>260.0</v>
      </c>
      <c r="P190" s="9">
        <v>3000.0</v>
      </c>
      <c r="Q190" s="9">
        <v>1600.0</v>
      </c>
      <c r="R190" s="10"/>
      <c r="S190" s="11">
        <v>45002.0</v>
      </c>
    </row>
    <row r="191" ht="9.0" customHeight="1">
      <c r="A191" s="4" t="s">
        <v>19</v>
      </c>
      <c r="B191" s="4" t="s">
        <v>233</v>
      </c>
      <c r="C191" s="4" t="s">
        <v>233</v>
      </c>
      <c r="D191" s="1"/>
      <c r="E191" s="25" t="s">
        <v>280</v>
      </c>
      <c r="F191" s="1" t="s">
        <v>290</v>
      </c>
      <c r="G191" s="4" t="s">
        <v>284</v>
      </c>
      <c r="H191" s="5" t="s">
        <v>291</v>
      </c>
      <c r="I191" s="5"/>
      <c r="J191" s="6" t="s">
        <v>191</v>
      </c>
      <c r="K191" s="6" t="s">
        <v>292</v>
      </c>
      <c r="L191" s="7"/>
      <c r="M191" s="1"/>
      <c r="N191" s="2"/>
      <c r="O191" s="1"/>
      <c r="P191" s="9">
        <v>3000.0</v>
      </c>
      <c r="Q191" s="9">
        <v>1600.0</v>
      </c>
      <c r="R191" s="10"/>
      <c r="S191" s="11">
        <v>44999.0</v>
      </c>
    </row>
    <row r="192" ht="9.0" customHeight="1">
      <c r="A192" s="4" t="s">
        <v>19</v>
      </c>
      <c r="B192" s="4" t="s">
        <v>233</v>
      </c>
      <c r="C192" s="4" t="s">
        <v>233</v>
      </c>
      <c r="D192" s="1" t="s">
        <v>234</v>
      </c>
      <c r="E192" s="4" t="s">
        <v>22</v>
      </c>
      <c r="F192" s="1"/>
      <c r="G192" s="4" t="s">
        <v>293</v>
      </c>
      <c r="H192" s="5"/>
      <c r="I192" s="5"/>
      <c r="J192" s="6"/>
      <c r="K192" s="6"/>
      <c r="L192" s="7"/>
      <c r="M192" s="1"/>
      <c r="N192" s="22">
        <v>0.465</v>
      </c>
      <c r="O192" s="1"/>
      <c r="P192" s="9"/>
      <c r="Q192" s="9"/>
      <c r="R192" s="10">
        <v>2200.0</v>
      </c>
      <c r="S192" s="11">
        <v>44975.0</v>
      </c>
    </row>
    <row r="193" ht="9.0" customHeight="1">
      <c r="A193" s="4" t="s">
        <v>19</v>
      </c>
      <c r="B193" s="4" t="s">
        <v>233</v>
      </c>
      <c r="C193" s="4" t="s">
        <v>233</v>
      </c>
      <c r="D193" s="1" t="s">
        <v>234</v>
      </c>
      <c r="E193" s="4" t="s">
        <v>22</v>
      </c>
      <c r="F193" s="1"/>
      <c r="G193" s="4" t="s">
        <v>294</v>
      </c>
      <c r="H193" s="5"/>
      <c r="I193" s="5"/>
      <c r="J193" s="6"/>
      <c r="K193" s="6"/>
      <c r="L193" s="7"/>
      <c r="M193" s="1"/>
      <c r="N193" s="8">
        <v>0.55</v>
      </c>
      <c r="O193" s="1"/>
      <c r="P193" s="9">
        <v>2200.0</v>
      </c>
      <c r="Q193" s="9">
        <v>1200.0</v>
      </c>
      <c r="R193" s="10"/>
      <c r="S193" s="11"/>
    </row>
    <row r="194" ht="9.0" customHeight="1">
      <c r="A194" s="4" t="s">
        <v>19</v>
      </c>
      <c r="B194" s="4" t="s">
        <v>233</v>
      </c>
      <c r="C194" s="4" t="s">
        <v>233</v>
      </c>
      <c r="D194" s="1" t="s">
        <v>234</v>
      </c>
      <c r="E194" s="4" t="s">
        <v>22</v>
      </c>
      <c r="F194" s="1"/>
      <c r="G194" s="4" t="s">
        <v>295</v>
      </c>
      <c r="H194" s="5"/>
      <c r="I194" s="5"/>
      <c r="J194" s="6"/>
      <c r="K194" s="6"/>
      <c r="L194" s="7"/>
      <c r="M194" s="1"/>
      <c r="N194" s="2"/>
      <c r="O194" s="1"/>
      <c r="P194" s="9">
        <v>3000.0</v>
      </c>
      <c r="Q194" s="9">
        <v>1600.0</v>
      </c>
      <c r="R194" s="10"/>
      <c r="S194" s="11">
        <v>44903.0</v>
      </c>
    </row>
    <row r="195" ht="9.0" customHeight="1">
      <c r="A195" s="4" t="s">
        <v>19</v>
      </c>
      <c r="B195" s="4" t="s">
        <v>233</v>
      </c>
      <c r="C195" s="4" t="s">
        <v>233</v>
      </c>
      <c r="D195" s="1" t="s">
        <v>234</v>
      </c>
      <c r="E195" s="4" t="s">
        <v>22</v>
      </c>
      <c r="F195" s="1"/>
      <c r="G195" s="4" t="s">
        <v>296</v>
      </c>
      <c r="H195" s="5"/>
      <c r="I195" s="5"/>
      <c r="J195" s="6"/>
      <c r="K195" s="6"/>
      <c r="L195" s="7"/>
      <c r="M195" s="1"/>
      <c r="N195" s="2"/>
      <c r="O195" s="1"/>
      <c r="P195" s="9">
        <v>3000.0</v>
      </c>
      <c r="Q195" s="9">
        <v>1600.0</v>
      </c>
      <c r="R195" s="10"/>
      <c r="S195" s="11">
        <v>44904.0</v>
      </c>
    </row>
    <row r="196" ht="9.0" customHeight="1">
      <c r="A196" s="4" t="s">
        <v>19</v>
      </c>
      <c r="B196" s="4" t="s">
        <v>233</v>
      </c>
      <c r="C196" s="4" t="s">
        <v>233</v>
      </c>
      <c r="D196" s="1" t="s">
        <v>234</v>
      </c>
      <c r="E196" s="4" t="s">
        <v>22</v>
      </c>
      <c r="F196" s="1"/>
      <c r="G196" s="4" t="s">
        <v>297</v>
      </c>
      <c r="H196" s="5"/>
      <c r="I196" s="5"/>
      <c r="J196" s="6"/>
      <c r="K196" s="6"/>
      <c r="L196" s="7"/>
      <c r="M196" s="1"/>
      <c r="N196" s="2"/>
      <c r="O196" s="1"/>
      <c r="P196" s="9">
        <v>3000.0</v>
      </c>
      <c r="Q196" s="9">
        <v>1600.0</v>
      </c>
      <c r="R196" s="10"/>
      <c r="S196" s="11">
        <v>44905.0</v>
      </c>
    </row>
    <row r="197" ht="9.0" customHeight="1">
      <c r="A197" s="4" t="s">
        <v>19</v>
      </c>
      <c r="B197" s="4" t="s">
        <v>233</v>
      </c>
      <c r="C197" s="4" t="s">
        <v>233</v>
      </c>
      <c r="D197" s="1" t="s">
        <v>234</v>
      </c>
      <c r="E197" s="4" t="s">
        <v>22</v>
      </c>
      <c r="F197" s="1"/>
      <c r="G197" s="4" t="s">
        <v>298</v>
      </c>
      <c r="H197" s="5"/>
      <c r="I197" s="5"/>
      <c r="J197" s="6"/>
      <c r="K197" s="6"/>
      <c r="L197" s="7"/>
      <c r="M197" s="1"/>
      <c r="N197" s="2"/>
      <c r="O197" s="1"/>
      <c r="P197" s="9">
        <v>3000.0</v>
      </c>
      <c r="Q197" s="9">
        <v>1600.0</v>
      </c>
      <c r="R197" s="10"/>
      <c r="S197" s="11">
        <v>45499.0</v>
      </c>
    </row>
    <row r="198" ht="9.0" customHeight="1">
      <c r="A198" s="4" t="s">
        <v>19</v>
      </c>
      <c r="B198" s="4" t="s">
        <v>233</v>
      </c>
      <c r="C198" s="4" t="s">
        <v>233</v>
      </c>
      <c r="D198" s="1" t="s">
        <v>234</v>
      </c>
      <c r="E198" s="4" t="s">
        <v>22</v>
      </c>
      <c r="F198" s="1"/>
      <c r="G198" s="4" t="s">
        <v>299</v>
      </c>
      <c r="H198" s="5"/>
      <c r="I198" s="5"/>
      <c r="J198" s="6"/>
      <c r="K198" s="6"/>
      <c r="L198" s="7"/>
      <c r="M198" s="1"/>
      <c r="N198" s="2"/>
      <c r="O198" s="1"/>
      <c r="P198" s="9">
        <v>3000.0</v>
      </c>
      <c r="Q198" s="9">
        <v>1600.0</v>
      </c>
      <c r="R198" s="10"/>
      <c r="S198" s="11">
        <v>45055.0</v>
      </c>
    </row>
    <row r="199" ht="9.0" customHeight="1">
      <c r="A199" s="4" t="s">
        <v>19</v>
      </c>
      <c r="B199" s="4" t="s">
        <v>233</v>
      </c>
      <c r="C199" s="4" t="s">
        <v>233</v>
      </c>
      <c r="D199" s="1" t="s">
        <v>234</v>
      </c>
      <c r="E199" s="4" t="s">
        <v>22</v>
      </c>
      <c r="F199" s="1"/>
      <c r="G199" s="4" t="s">
        <v>300</v>
      </c>
      <c r="H199" s="5"/>
      <c r="I199" s="5"/>
      <c r="J199" s="6"/>
      <c r="K199" s="6"/>
      <c r="L199" s="7"/>
      <c r="M199" s="1"/>
      <c r="N199" s="2"/>
      <c r="O199" s="1"/>
      <c r="P199" s="9">
        <v>3000.0</v>
      </c>
      <c r="Q199" s="9">
        <v>1600.0</v>
      </c>
      <c r="R199" s="10"/>
      <c r="S199" s="11">
        <v>45062.0</v>
      </c>
    </row>
    <row r="200" ht="9.0" customHeight="1">
      <c r="A200" s="4" t="s">
        <v>19</v>
      </c>
      <c r="B200" s="4" t="s">
        <v>233</v>
      </c>
      <c r="C200" s="4" t="s">
        <v>233</v>
      </c>
      <c r="D200" s="1" t="s">
        <v>234</v>
      </c>
      <c r="E200" s="4" t="s">
        <v>22</v>
      </c>
      <c r="F200" s="1"/>
      <c r="G200" s="4" t="s">
        <v>301</v>
      </c>
      <c r="H200" s="5"/>
      <c r="I200" s="5"/>
      <c r="J200" s="6"/>
      <c r="K200" s="6"/>
      <c r="L200" s="7"/>
      <c r="M200" s="1"/>
      <c r="N200" s="2"/>
      <c r="O200" s="1"/>
      <c r="P200" s="9">
        <v>3000.0</v>
      </c>
      <c r="Q200" s="9">
        <v>1600.0</v>
      </c>
      <c r="R200" s="10"/>
      <c r="S200" s="11">
        <v>45061.0</v>
      </c>
    </row>
    <row r="201" ht="9.0" customHeight="1">
      <c r="A201" s="4" t="s">
        <v>19</v>
      </c>
      <c r="B201" s="4" t="s">
        <v>233</v>
      </c>
      <c r="C201" s="4" t="s">
        <v>233</v>
      </c>
      <c r="D201" s="1" t="s">
        <v>234</v>
      </c>
      <c r="E201" s="4" t="s">
        <v>22</v>
      </c>
      <c r="F201" s="1"/>
      <c r="G201" s="4" t="s">
        <v>302</v>
      </c>
      <c r="H201" s="5"/>
      <c r="I201" s="5"/>
      <c r="J201" s="6"/>
      <c r="K201" s="6"/>
      <c r="L201" s="7"/>
      <c r="M201" s="1"/>
      <c r="N201" s="2"/>
      <c r="O201" s="1"/>
      <c r="P201" s="9">
        <v>3000.0</v>
      </c>
      <c r="Q201" s="9">
        <v>1600.0</v>
      </c>
      <c r="R201" s="10"/>
      <c r="S201" s="11">
        <v>45060.0</v>
      </c>
    </row>
    <row r="202" ht="9.0" customHeight="1">
      <c r="A202" s="4" t="s">
        <v>19</v>
      </c>
      <c r="B202" s="4" t="s">
        <v>233</v>
      </c>
      <c r="C202" s="4" t="s">
        <v>233</v>
      </c>
      <c r="D202" s="1" t="s">
        <v>234</v>
      </c>
      <c r="E202" s="4" t="s">
        <v>22</v>
      </c>
      <c r="F202" s="1"/>
      <c r="G202" s="4" t="s">
        <v>303</v>
      </c>
      <c r="H202" s="5"/>
      <c r="I202" s="5"/>
      <c r="J202" s="6"/>
      <c r="K202" s="6"/>
      <c r="L202" s="7"/>
      <c r="M202" s="1"/>
      <c r="N202" s="2"/>
      <c r="O202" s="1"/>
      <c r="P202" s="9">
        <v>3000.0</v>
      </c>
      <c r="Q202" s="9">
        <v>1600.0</v>
      </c>
      <c r="R202" s="10"/>
      <c r="S202" s="11">
        <v>45058.0</v>
      </c>
    </row>
    <row r="203" ht="9.0" customHeight="1">
      <c r="A203" s="4" t="s">
        <v>19</v>
      </c>
      <c r="B203" s="4" t="s">
        <v>233</v>
      </c>
      <c r="C203" s="4" t="s">
        <v>233</v>
      </c>
      <c r="D203" s="1" t="s">
        <v>234</v>
      </c>
      <c r="E203" s="4" t="s">
        <v>22</v>
      </c>
      <c r="F203" s="1"/>
      <c r="G203" s="4" t="s">
        <v>304</v>
      </c>
      <c r="H203" s="5"/>
      <c r="I203" s="5"/>
      <c r="J203" s="6"/>
      <c r="K203" s="6"/>
      <c r="L203" s="7"/>
      <c r="M203" s="1"/>
      <c r="N203" s="2"/>
      <c r="O203" s="1"/>
      <c r="P203" s="9">
        <v>3000.0</v>
      </c>
      <c r="Q203" s="9">
        <v>1600.0</v>
      </c>
      <c r="R203" s="10"/>
      <c r="S203" s="11">
        <v>45184.0</v>
      </c>
    </row>
    <row r="204" ht="9.0" customHeight="1">
      <c r="A204" s="4" t="s">
        <v>19</v>
      </c>
      <c r="B204" s="4" t="s">
        <v>233</v>
      </c>
      <c r="C204" s="4" t="s">
        <v>233</v>
      </c>
      <c r="D204" s="1" t="s">
        <v>234</v>
      </c>
      <c r="E204" s="4" t="s">
        <v>22</v>
      </c>
      <c r="F204" s="1"/>
      <c r="G204" s="4" t="s">
        <v>305</v>
      </c>
      <c r="H204" s="5"/>
      <c r="I204" s="5"/>
      <c r="J204" s="6"/>
      <c r="K204" s="6"/>
      <c r="L204" s="7"/>
      <c r="M204" s="1"/>
      <c r="N204" s="2"/>
      <c r="O204" s="1"/>
      <c r="P204" s="9"/>
      <c r="Q204" s="9"/>
      <c r="R204" s="10">
        <v>2200.0</v>
      </c>
      <c r="S204" s="11">
        <v>44974.0</v>
      </c>
    </row>
    <row r="205" ht="9.0" customHeight="1">
      <c r="A205" s="4" t="s">
        <v>19</v>
      </c>
      <c r="B205" s="4" t="s">
        <v>233</v>
      </c>
      <c r="C205" s="4" t="s">
        <v>233</v>
      </c>
      <c r="D205" s="1" t="s">
        <v>234</v>
      </c>
      <c r="E205" s="4" t="s">
        <v>22</v>
      </c>
      <c r="F205" s="1"/>
      <c r="G205" s="4" t="s">
        <v>306</v>
      </c>
      <c r="H205" s="5" t="s">
        <v>307</v>
      </c>
      <c r="I205" s="5"/>
      <c r="J205" s="6"/>
      <c r="K205" s="6"/>
      <c r="L205" s="7"/>
      <c r="M205" s="1"/>
      <c r="N205" s="2"/>
      <c r="O205" s="1"/>
      <c r="P205" s="9">
        <v>3000.0</v>
      </c>
      <c r="Q205" s="9">
        <v>1600.0</v>
      </c>
      <c r="R205" s="10"/>
      <c r="S205" s="11">
        <v>45475.0</v>
      </c>
    </row>
    <row r="206" ht="9.0" customHeight="1">
      <c r="A206" s="4" t="s">
        <v>19</v>
      </c>
      <c r="B206" s="4" t="s">
        <v>233</v>
      </c>
      <c r="C206" s="4" t="s">
        <v>233</v>
      </c>
      <c r="D206" s="1" t="s">
        <v>234</v>
      </c>
      <c r="E206" s="4" t="s">
        <v>308</v>
      </c>
      <c r="F206" s="1" t="s">
        <v>309</v>
      </c>
      <c r="G206" s="4" t="s">
        <v>310</v>
      </c>
      <c r="H206" s="5" t="s">
        <v>311</v>
      </c>
      <c r="I206" s="5"/>
      <c r="J206" s="6"/>
      <c r="K206" s="6"/>
      <c r="L206" s="7"/>
      <c r="M206" s="1"/>
      <c r="N206" s="2"/>
      <c r="O206" s="1"/>
      <c r="P206" s="9">
        <v>3000.0</v>
      </c>
      <c r="Q206" s="9">
        <v>1600.0</v>
      </c>
      <c r="R206" s="10"/>
      <c r="S206" s="11">
        <v>45504.0</v>
      </c>
    </row>
    <row r="207" ht="9.0" customHeight="1">
      <c r="A207" s="4" t="s">
        <v>19</v>
      </c>
      <c r="B207" s="4" t="s">
        <v>233</v>
      </c>
      <c r="C207" s="4" t="s">
        <v>233</v>
      </c>
      <c r="D207" s="1"/>
      <c r="E207" s="4" t="s">
        <v>44</v>
      </c>
      <c r="F207" s="1"/>
      <c r="G207" s="4" t="s">
        <v>312</v>
      </c>
      <c r="H207" s="5"/>
      <c r="I207" s="5"/>
      <c r="J207" s="6"/>
      <c r="K207" s="6"/>
      <c r="L207" s="7" t="s">
        <v>23</v>
      </c>
      <c r="M207" s="1"/>
      <c r="N207" s="2"/>
      <c r="O207" s="1"/>
      <c r="P207" s="9">
        <v>1000.0</v>
      </c>
      <c r="Q207" s="9">
        <v>600.0</v>
      </c>
      <c r="R207" s="10"/>
      <c r="S207" s="11">
        <v>45649.0</v>
      </c>
    </row>
    <row r="208" ht="9.0" customHeight="1">
      <c r="A208" s="4" t="s">
        <v>19</v>
      </c>
      <c r="B208" s="4" t="s">
        <v>233</v>
      </c>
      <c r="C208" s="4" t="s">
        <v>233</v>
      </c>
      <c r="D208" s="1"/>
      <c r="E208" s="4" t="s">
        <v>44</v>
      </c>
      <c r="F208" s="1"/>
      <c r="G208" s="4" t="s">
        <v>313</v>
      </c>
      <c r="H208" s="5"/>
      <c r="I208" s="5"/>
      <c r="J208" s="6"/>
      <c r="K208" s="6"/>
      <c r="L208" s="7" t="s">
        <v>23</v>
      </c>
      <c r="M208" s="1"/>
      <c r="N208" s="2"/>
      <c r="O208" s="1"/>
      <c r="P208" s="9">
        <v>1400.0</v>
      </c>
      <c r="Q208" s="9">
        <v>800.0</v>
      </c>
      <c r="R208" s="10"/>
      <c r="S208" s="11">
        <v>44776.0</v>
      </c>
    </row>
    <row r="209" ht="9.0" customHeight="1">
      <c r="A209" s="4" t="s">
        <v>19</v>
      </c>
      <c r="B209" s="4" t="s">
        <v>233</v>
      </c>
      <c r="C209" s="4" t="s">
        <v>233</v>
      </c>
      <c r="D209" s="1"/>
      <c r="E209" s="4" t="s">
        <v>44</v>
      </c>
      <c r="F209" s="1"/>
      <c r="G209" s="4" t="s">
        <v>314</v>
      </c>
      <c r="H209" s="5"/>
      <c r="I209" s="5"/>
      <c r="J209" s="6"/>
      <c r="K209" s="6"/>
      <c r="L209" s="7" t="s">
        <v>23</v>
      </c>
      <c r="M209" s="1"/>
      <c r="N209" s="2"/>
      <c r="O209" s="1"/>
      <c r="P209" s="9">
        <v>1800.0</v>
      </c>
      <c r="Q209" s="9">
        <v>1000.0</v>
      </c>
      <c r="R209" s="10"/>
      <c r="S209" s="4"/>
    </row>
    <row r="210" ht="9.0" customHeight="1">
      <c r="A210" s="4" t="s">
        <v>19</v>
      </c>
      <c r="B210" s="4" t="s">
        <v>233</v>
      </c>
      <c r="C210" s="4" t="s">
        <v>233</v>
      </c>
      <c r="D210" s="1"/>
      <c r="E210" s="4" t="s">
        <v>44</v>
      </c>
      <c r="F210" s="1"/>
      <c r="G210" s="4" t="s">
        <v>315</v>
      </c>
      <c r="H210" s="5"/>
      <c r="I210" s="5"/>
      <c r="J210" s="6"/>
      <c r="K210" s="6"/>
      <c r="L210" s="7"/>
      <c r="M210" s="1"/>
      <c r="N210" s="2"/>
      <c r="O210" s="1"/>
      <c r="P210" s="9">
        <v>2000.0</v>
      </c>
      <c r="Q210" s="9">
        <v>1100.0</v>
      </c>
      <c r="R210" s="10"/>
      <c r="S210" s="11">
        <v>45681.0</v>
      </c>
    </row>
    <row r="211" ht="9.0" customHeight="1">
      <c r="A211" s="4" t="s">
        <v>19</v>
      </c>
      <c r="B211" s="4" t="s">
        <v>233</v>
      </c>
      <c r="C211" s="4" t="s">
        <v>233</v>
      </c>
      <c r="D211" s="1"/>
      <c r="E211" s="4" t="s">
        <v>44</v>
      </c>
      <c r="F211" s="1"/>
      <c r="G211" s="4" t="s">
        <v>316</v>
      </c>
      <c r="H211" s="5" t="s">
        <v>317</v>
      </c>
      <c r="I211" s="5"/>
      <c r="J211" s="6"/>
      <c r="K211" s="6"/>
      <c r="L211" s="7"/>
      <c r="M211" s="1"/>
      <c r="N211" s="2"/>
      <c r="O211" s="1"/>
      <c r="P211" s="9">
        <v>2800.0</v>
      </c>
      <c r="Q211" s="9">
        <v>1500.0</v>
      </c>
      <c r="R211" s="10"/>
      <c r="S211" s="11">
        <v>45567.0</v>
      </c>
    </row>
    <row r="212" ht="9.0" customHeight="1">
      <c r="A212" s="4" t="s">
        <v>19</v>
      </c>
      <c r="B212" s="4" t="s">
        <v>233</v>
      </c>
      <c r="C212" s="4" t="s">
        <v>233</v>
      </c>
      <c r="D212" s="1"/>
      <c r="E212" s="4" t="s">
        <v>44</v>
      </c>
      <c r="F212" s="1"/>
      <c r="G212" s="4" t="s">
        <v>318</v>
      </c>
      <c r="H212" s="5"/>
      <c r="I212" s="5"/>
      <c r="J212" s="6"/>
      <c r="K212" s="6"/>
      <c r="L212" s="7"/>
      <c r="M212" s="1"/>
      <c r="N212" s="2"/>
      <c r="O212" s="1"/>
      <c r="P212" s="9"/>
      <c r="Q212" s="9"/>
      <c r="R212" s="10">
        <v>7000.0</v>
      </c>
      <c r="S212" s="11">
        <v>44966.0</v>
      </c>
    </row>
    <row r="213" ht="9.0" customHeight="1">
      <c r="A213" s="4" t="s">
        <v>19</v>
      </c>
      <c r="B213" s="4" t="s">
        <v>233</v>
      </c>
      <c r="C213" s="4" t="s">
        <v>233</v>
      </c>
      <c r="D213" s="1"/>
      <c r="E213" s="5" t="s">
        <v>38</v>
      </c>
      <c r="F213" s="1"/>
      <c r="G213" s="4" t="s">
        <v>319</v>
      </c>
      <c r="H213" s="5"/>
      <c r="I213" s="5"/>
      <c r="J213" s="6"/>
      <c r="K213" s="6"/>
      <c r="L213" s="7" t="s">
        <v>23</v>
      </c>
      <c r="M213" s="1"/>
      <c r="N213" s="2"/>
      <c r="O213" s="1"/>
      <c r="P213" s="9">
        <v>1500.0</v>
      </c>
      <c r="Q213" s="9">
        <v>850.0</v>
      </c>
      <c r="R213" s="10"/>
      <c r="S213" s="11">
        <v>45768.0</v>
      </c>
    </row>
    <row r="214" ht="9.0" customHeight="1">
      <c r="A214" s="4" t="s">
        <v>19</v>
      </c>
      <c r="B214" s="4" t="s">
        <v>233</v>
      </c>
      <c r="C214" s="4" t="s">
        <v>233</v>
      </c>
      <c r="D214" s="1"/>
      <c r="E214" s="5" t="s">
        <v>38</v>
      </c>
      <c r="F214" s="1"/>
      <c r="G214" s="4" t="s">
        <v>320</v>
      </c>
      <c r="H214" s="5"/>
      <c r="I214" s="5"/>
      <c r="J214" s="6"/>
      <c r="K214" s="6"/>
      <c r="L214" s="7" t="s">
        <v>23</v>
      </c>
      <c r="M214" s="1"/>
      <c r="N214" s="2"/>
      <c r="O214" s="1"/>
      <c r="P214" s="9">
        <v>1500.0</v>
      </c>
      <c r="Q214" s="9">
        <v>850.0</v>
      </c>
      <c r="R214" s="10"/>
      <c r="S214" s="11">
        <v>45769.0</v>
      </c>
    </row>
    <row r="215" ht="9.0" customHeight="1">
      <c r="A215" s="4" t="s">
        <v>19</v>
      </c>
      <c r="B215" s="4" t="s">
        <v>233</v>
      </c>
      <c r="C215" s="4" t="s">
        <v>233</v>
      </c>
      <c r="D215" s="1"/>
      <c r="E215" s="5" t="s">
        <v>38</v>
      </c>
      <c r="F215" s="1"/>
      <c r="G215" s="4" t="s">
        <v>321</v>
      </c>
      <c r="H215" s="5"/>
      <c r="I215" s="5"/>
      <c r="J215" s="6"/>
      <c r="K215" s="6"/>
      <c r="L215" s="7" t="s">
        <v>23</v>
      </c>
      <c r="M215" s="1"/>
      <c r="N215" s="2"/>
      <c r="O215" s="1"/>
      <c r="P215" s="9">
        <v>1500.0</v>
      </c>
      <c r="Q215" s="9">
        <v>850.0</v>
      </c>
      <c r="R215" s="10"/>
      <c r="S215" s="11">
        <v>45771.0</v>
      </c>
    </row>
    <row r="216" ht="9.0" customHeight="1">
      <c r="A216" s="4" t="s">
        <v>19</v>
      </c>
      <c r="B216" s="4" t="s">
        <v>233</v>
      </c>
      <c r="C216" s="4" t="s">
        <v>233</v>
      </c>
      <c r="D216" s="1"/>
      <c r="E216" s="5" t="s">
        <v>38</v>
      </c>
      <c r="F216" s="1"/>
      <c r="G216" s="4" t="s">
        <v>322</v>
      </c>
      <c r="H216" s="5"/>
      <c r="I216" s="5"/>
      <c r="J216" s="6"/>
      <c r="K216" s="6"/>
      <c r="L216" s="7"/>
      <c r="M216" s="1"/>
      <c r="N216" s="2"/>
      <c r="O216" s="1"/>
      <c r="P216" s="9">
        <v>3500.0</v>
      </c>
      <c r="Q216" s="9">
        <v>1900.0</v>
      </c>
      <c r="R216" s="10"/>
      <c r="S216" s="11">
        <v>45064.0</v>
      </c>
    </row>
    <row r="217" ht="9.0" customHeight="1">
      <c r="A217" s="4" t="s">
        <v>19</v>
      </c>
      <c r="B217" s="4" t="s">
        <v>323</v>
      </c>
      <c r="C217" s="5" t="s">
        <v>324</v>
      </c>
      <c r="D217" s="1" t="s">
        <v>325</v>
      </c>
      <c r="E217" s="4" t="s">
        <v>92</v>
      </c>
      <c r="F217" s="1" t="s">
        <v>326</v>
      </c>
      <c r="G217" s="4" t="s">
        <v>327</v>
      </c>
      <c r="H217" s="5"/>
      <c r="I217" s="5"/>
      <c r="J217" s="6"/>
      <c r="K217" s="6"/>
      <c r="L217" s="7"/>
      <c r="M217" s="1"/>
      <c r="N217" s="2"/>
      <c r="O217" s="1"/>
      <c r="P217" s="9">
        <v>3000.0</v>
      </c>
      <c r="Q217" s="9">
        <v>1600.0</v>
      </c>
      <c r="R217" s="10"/>
      <c r="S217" s="11">
        <v>44936.0</v>
      </c>
    </row>
    <row r="218" ht="9.0" customHeight="1">
      <c r="A218" s="4" t="s">
        <v>19</v>
      </c>
      <c r="B218" s="4" t="s">
        <v>323</v>
      </c>
      <c r="C218" s="4" t="s">
        <v>323</v>
      </c>
      <c r="D218" s="1" t="s">
        <v>325</v>
      </c>
      <c r="E218" s="4" t="s">
        <v>92</v>
      </c>
      <c r="F218" s="1" t="s">
        <v>328</v>
      </c>
      <c r="G218" s="4" t="s">
        <v>329</v>
      </c>
      <c r="H218" s="5" t="s">
        <v>30</v>
      </c>
      <c r="I218" s="5"/>
      <c r="J218" s="6"/>
      <c r="K218" s="6"/>
      <c r="L218" s="7"/>
      <c r="M218" s="1"/>
      <c r="N218" s="2"/>
      <c r="O218" s="1"/>
      <c r="P218" s="9">
        <v>1800.0</v>
      </c>
      <c r="Q218" s="9">
        <v>1000.0</v>
      </c>
      <c r="R218" s="10"/>
      <c r="S218" s="4"/>
    </row>
    <row r="219" ht="9.0" customHeight="1">
      <c r="A219" s="4" t="s">
        <v>19</v>
      </c>
      <c r="B219" s="4" t="s">
        <v>323</v>
      </c>
      <c r="C219" s="4" t="s">
        <v>323</v>
      </c>
      <c r="D219" s="1" t="s">
        <v>325</v>
      </c>
      <c r="E219" s="4" t="s">
        <v>92</v>
      </c>
      <c r="F219" s="1" t="s">
        <v>330</v>
      </c>
      <c r="G219" s="4" t="s">
        <v>329</v>
      </c>
      <c r="H219" s="5" t="s">
        <v>30</v>
      </c>
      <c r="I219" s="5"/>
      <c r="J219" s="6"/>
      <c r="K219" s="6"/>
      <c r="L219" s="7"/>
      <c r="M219" s="1"/>
      <c r="N219" s="2"/>
      <c r="O219" s="1"/>
      <c r="P219" s="9">
        <v>1800.0</v>
      </c>
      <c r="Q219" s="9">
        <v>1000.0</v>
      </c>
      <c r="R219" s="10"/>
      <c r="S219" s="4"/>
    </row>
    <row r="220" ht="9.0" customHeight="1">
      <c r="A220" s="4" t="s">
        <v>19</v>
      </c>
      <c r="B220" s="4" t="s">
        <v>323</v>
      </c>
      <c r="C220" s="4" t="s">
        <v>323</v>
      </c>
      <c r="D220" s="1"/>
      <c r="E220" s="4" t="s">
        <v>92</v>
      </c>
      <c r="F220" s="1" t="s">
        <v>331</v>
      </c>
      <c r="G220" s="4" t="s">
        <v>332</v>
      </c>
      <c r="H220" s="5" t="s">
        <v>333</v>
      </c>
      <c r="I220" s="5"/>
      <c r="J220" s="6"/>
      <c r="K220" s="6"/>
      <c r="L220" s="7"/>
      <c r="M220" s="1"/>
      <c r="N220" s="2"/>
      <c r="O220" s="1"/>
      <c r="P220" s="9">
        <v>2000.0</v>
      </c>
      <c r="Q220" s="9">
        <v>1100.0</v>
      </c>
      <c r="R220" s="10"/>
      <c r="S220" s="11">
        <v>45045.0</v>
      </c>
    </row>
    <row r="221" ht="9.0" customHeight="1">
      <c r="A221" s="4" t="s">
        <v>19</v>
      </c>
      <c r="B221" s="4" t="s">
        <v>323</v>
      </c>
      <c r="C221" s="4" t="s">
        <v>323</v>
      </c>
      <c r="D221" s="1"/>
      <c r="E221" s="4" t="s">
        <v>92</v>
      </c>
      <c r="F221" s="1" t="s">
        <v>334</v>
      </c>
      <c r="G221" s="4" t="s">
        <v>335</v>
      </c>
      <c r="H221" s="5" t="s">
        <v>333</v>
      </c>
      <c r="I221" s="5"/>
      <c r="J221" s="6"/>
      <c r="K221" s="6"/>
      <c r="L221" s="7"/>
      <c r="M221" s="1"/>
      <c r="N221" s="2"/>
      <c r="O221" s="1"/>
      <c r="P221" s="9">
        <v>2000.0</v>
      </c>
      <c r="Q221" s="9">
        <v>1100.0</v>
      </c>
      <c r="R221" s="10"/>
      <c r="S221" s="11">
        <v>45043.0</v>
      </c>
    </row>
    <row r="222" ht="9.0" customHeight="1">
      <c r="A222" s="4" t="s">
        <v>19</v>
      </c>
      <c r="B222" s="4" t="s">
        <v>323</v>
      </c>
      <c r="C222" s="4" t="s">
        <v>323</v>
      </c>
      <c r="D222" s="1"/>
      <c r="E222" s="4" t="s">
        <v>92</v>
      </c>
      <c r="F222" s="1" t="s">
        <v>336</v>
      </c>
      <c r="G222" s="4" t="s">
        <v>337</v>
      </c>
      <c r="H222" s="5" t="s">
        <v>333</v>
      </c>
      <c r="I222" s="5"/>
      <c r="J222" s="6"/>
      <c r="K222" s="6"/>
      <c r="L222" s="7"/>
      <c r="M222" s="1"/>
      <c r="N222" s="2"/>
      <c r="O222" s="1"/>
      <c r="P222" s="9">
        <v>2000.0</v>
      </c>
      <c r="Q222" s="9">
        <v>1100.0</v>
      </c>
      <c r="R222" s="10"/>
      <c r="S222" s="11">
        <v>45042.0</v>
      </c>
    </row>
    <row r="223" ht="9.0" customHeight="1">
      <c r="A223" s="4" t="s">
        <v>19</v>
      </c>
      <c r="B223" s="4" t="s">
        <v>323</v>
      </c>
      <c r="C223" s="4" t="s">
        <v>323</v>
      </c>
      <c r="D223" s="1"/>
      <c r="E223" s="4" t="s">
        <v>92</v>
      </c>
      <c r="F223" s="1" t="s">
        <v>338</v>
      </c>
      <c r="G223" s="4" t="s">
        <v>339</v>
      </c>
      <c r="H223" s="5" t="s">
        <v>333</v>
      </c>
      <c r="I223" s="5"/>
      <c r="J223" s="6"/>
      <c r="K223" s="6"/>
      <c r="L223" s="7"/>
      <c r="M223" s="1"/>
      <c r="N223" s="2"/>
      <c r="O223" s="1"/>
      <c r="P223" s="9">
        <v>2000.0</v>
      </c>
      <c r="Q223" s="9">
        <v>1100.0</v>
      </c>
      <c r="R223" s="10"/>
      <c r="S223" s="11">
        <v>45040.0</v>
      </c>
    </row>
    <row r="224" ht="9.0" customHeight="1">
      <c r="A224" s="4" t="s">
        <v>19</v>
      </c>
      <c r="B224" s="4" t="s">
        <v>323</v>
      </c>
      <c r="C224" s="4" t="s">
        <v>323</v>
      </c>
      <c r="D224" s="1"/>
      <c r="E224" s="4" t="s">
        <v>92</v>
      </c>
      <c r="F224" s="1" t="s">
        <v>340</v>
      </c>
      <c r="G224" s="4" t="s">
        <v>341</v>
      </c>
      <c r="H224" s="5" t="s">
        <v>333</v>
      </c>
      <c r="I224" s="5"/>
      <c r="J224" s="6"/>
      <c r="K224" s="6"/>
      <c r="L224" s="7"/>
      <c r="M224" s="1"/>
      <c r="N224" s="2"/>
      <c r="O224" s="1"/>
      <c r="P224" s="9">
        <v>2000.0</v>
      </c>
      <c r="Q224" s="9">
        <v>1100.0</v>
      </c>
      <c r="R224" s="10"/>
      <c r="S224" s="11">
        <v>45038.0</v>
      </c>
    </row>
    <row r="225" ht="9.0" customHeight="1">
      <c r="A225" s="4" t="s">
        <v>19</v>
      </c>
      <c r="B225" s="4" t="s">
        <v>323</v>
      </c>
      <c r="C225" s="4" t="s">
        <v>323</v>
      </c>
      <c r="D225" s="1"/>
      <c r="E225" s="4" t="s">
        <v>92</v>
      </c>
      <c r="F225" s="1" t="s">
        <v>342</v>
      </c>
      <c r="G225" s="4" t="s">
        <v>343</v>
      </c>
      <c r="H225" s="5" t="s">
        <v>333</v>
      </c>
      <c r="I225" s="5"/>
      <c r="J225" s="6"/>
      <c r="K225" s="6"/>
      <c r="L225" s="7"/>
      <c r="M225" s="1"/>
      <c r="N225" s="2"/>
      <c r="O225" s="1"/>
      <c r="P225" s="9">
        <v>2200.0</v>
      </c>
      <c r="Q225" s="9">
        <v>1200.0</v>
      </c>
      <c r="R225" s="10"/>
      <c r="S225" s="11">
        <v>45036.0</v>
      </c>
    </row>
    <row r="226" ht="9.0" customHeight="1">
      <c r="A226" s="4" t="s">
        <v>19</v>
      </c>
      <c r="B226" s="4" t="s">
        <v>323</v>
      </c>
      <c r="C226" s="4" t="s">
        <v>323</v>
      </c>
      <c r="D226" s="1"/>
      <c r="E226" s="4" t="s">
        <v>344</v>
      </c>
      <c r="F226" s="1" t="s">
        <v>345</v>
      </c>
      <c r="G226" s="4" t="s">
        <v>346</v>
      </c>
      <c r="H226" s="5" t="s">
        <v>333</v>
      </c>
      <c r="I226" s="5"/>
      <c r="J226" s="6"/>
      <c r="K226" s="6"/>
      <c r="L226" s="7"/>
      <c r="M226" s="1"/>
      <c r="N226" s="2"/>
      <c r="O226" s="1"/>
      <c r="P226" s="9">
        <v>2000.0</v>
      </c>
      <c r="Q226" s="9">
        <v>1100.0</v>
      </c>
      <c r="R226" s="10"/>
      <c r="S226" s="11">
        <v>45034.0</v>
      </c>
    </row>
    <row r="227" ht="9.0" customHeight="1">
      <c r="A227" s="4" t="s">
        <v>19</v>
      </c>
      <c r="B227" s="4" t="s">
        <v>323</v>
      </c>
      <c r="C227" s="4" t="s">
        <v>323</v>
      </c>
      <c r="D227" s="1"/>
      <c r="E227" s="4" t="s">
        <v>92</v>
      </c>
      <c r="F227" s="1" t="s">
        <v>347</v>
      </c>
      <c r="G227" s="4" t="s">
        <v>348</v>
      </c>
      <c r="H227" s="5" t="s">
        <v>333</v>
      </c>
      <c r="I227" s="5"/>
      <c r="J227" s="6"/>
      <c r="K227" s="6"/>
      <c r="L227" s="7"/>
      <c r="M227" s="1"/>
      <c r="N227" s="2"/>
      <c r="O227" s="1"/>
      <c r="P227" s="9">
        <v>2000.0</v>
      </c>
      <c r="Q227" s="9">
        <v>1100.0</v>
      </c>
      <c r="R227" s="10"/>
      <c r="S227" s="11">
        <v>45033.0</v>
      </c>
    </row>
    <row r="228" ht="9.0" customHeight="1">
      <c r="A228" s="4" t="s">
        <v>19</v>
      </c>
      <c r="B228" s="4" t="s">
        <v>323</v>
      </c>
      <c r="C228" s="4" t="s">
        <v>323</v>
      </c>
      <c r="D228" s="1"/>
      <c r="E228" s="4" t="s">
        <v>92</v>
      </c>
      <c r="F228" s="1" t="s">
        <v>349</v>
      </c>
      <c r="G228" s="4" t="s">
        <v>350</v>
      </c>
      <c r="H228" s="5" t="s">
        <v>333</v>
      </c>
      <c r="I228" s="5"/>
      <c r="J228" s="6"/>
      <c r="K228" s="6"/>
      <c r="L228" s="7"/>
      <c r="M228" s="1"/>
      <c r="N228" s="2"/>
      <c r="O228" s="1"/>
      <c r="P228" s="9">
        <v>2000.0</v>
      </c>
      <c r="Q228" s="9">
        <v>1100.0</v>
      </c>
      <c r="R228" s="10"/>
      <c r="S228" s="11">
        <v>45030.0</v>
      </c>
    </row>
    <row r="229" ht="9.0" customHeight="1">
      <c r="A229" s="4" t="s">
        <v>19</v>
      </c>
      <c r="B229" s="4" t="s">
        <v>323</v>
      </c>
      <c r="C229" s="4" t="s">
        <v>323</v>
      </c>
      <c r="D229" s="1"/>
      <c r="E229" s="4" t="s">
        <v>344</v>
      </c>
      <c r="F229" s="1" t="s">
        <v>351</v>
      </c>
      <c r="G229" s="4" t="s">
        <v>352</v>
      </c>
      <c r="H229" s="5" t="s">
        <v>333</v>
      </c>
      <c r="I229" s="5"/>
      <c r="J229" s="6"/>
      <c r="K229" s="6"/>
      <c r="L229" s="7"/>
      <c r="M229" s="1"/>
      <c r="N229" s="2"/>
      <c r="O229" s="1"/>
      <c r="P229" s="9">
        <v>2000.0</v>
      </c>
      <c r="Q229" s="9">
        <v>1100.0</v>
      </c>
      <c r="R229" s="10"/>
      <c r="S229" s="11">
        <v>45029.0</v>
      </c>
    </row>
    <row r="230" ht="9.0" customHeight="1">
      <c r="A230" s="4" t="s">
        <v>19</v>
      </c>
      <c r="B230" s="4" t="s">
        <v>323</v>
      </c>
      <c r="C230" s="4" t="s">
        <v>323</v>
      </c>
      <c r="D230" s="1"/>
      <c r="E230" s="4" t="s">
        <v>92</v>
      </c>
      <c r="F230" s="1" t="s">
        <v>353</v>
      </c>
      <c r="G230" s="4" t="s">
        <v>354</v>
      </c>
      <c r="H230" s="5" t="s">
        <v>333</v>
      </c>
      <c r="I230" s="5"/>
      <c r="J230" s="6"/>
      <c r="K230" s="6"/>
      <c r="L230" s="7"/>
      <c r="M230" s="1"/>
      <c r="N230" s="2"/>
      <c r="O230" s="1"/>
      <c r="P230" s="9">
        <v>2200.0</v>
      </c>
      <c r="Q230" s="9">
        <v>1200.0</v>
      </c>
      <c r="R230" s="10"/>
      <c r="S230" s="11">
        <v>45022.0</v>
      </c>
    </row>
    <row r="231" ht="9.0" customHeight="1">
      <c r="A231" s="4" t="s">
        <v>19</v>
      </c>
      <c r="B231" s="4" t="s">
        <v>323</v>
      </c>
      <c r="C231" s="4" t="s">
        <v>323</v>
      </c>
      <c r="D231" s="1"/>
      <c r="E231" s="4" t="s">
        <v>344</v>
      </c>
      <c r="F231" s="1" t="s">
        <v>355</v>
      </c>
      <c r="G231" s="4" t="s">
        <v>356</v>
      </c>
      <c r="H231" s="5" t="s">
        <v>333</v>
      </c>
      <c r="I231" s="5"/>
      <c r="J231" s="6"/>
      <c r="K231" s="6"/>
      <c r="L231" s="7"/>
      <c r="M231" s="1"/>
      <c r="N231" s="2"/>
      <c r="O231" s="1"/>
      <c r="P231" s="9">
        <v>2000.0</v>
      </c>
      <c r="Q231" s="9">
        <v>1100.0</v>
      </c>
      <c r="R231" s="10"/>
      <c r="S231" s="11">
        <v>45028.0</v>
      </c>
    </row>
    <row r="232" ht="9.0" customHeight="1">
      <c r="A232" s="4" t="s">
        <v>19</v>
      </c>
      <c r="B232" s="4" t="s">
        <v>323</v>
      </c>
      <c r="C232" s="4" t="s">
        <v>323</v>
      </c>
      <c r="D232" s="1"/>
      <c r="E232" s="4" t="s">
        <v>344</v>
      </c>
      <c r="F232" s="1" t="s">
        <v>357</v>
      </c>
      <c r="G232" s="4" t="s">
        <v>358</v>
      </c>
      <c r="H232" s="5" t="s">
        <v>333</v>
      </c>
      <c r="I232" s="5"/>
      <c r="J232" s="6"/>
      <c r="K232" s="6"/>
      <c r="L232" s="7"/>
      <c r="M232" s="1"/>
      <c r="N232" s="2"/>
      <c r="O232" s="1"/>
      <c r="P232" s="9">
        <v>2200.0</v>
      </c>
      <c r="Q232" s="9">
        <v>1200.0</v>
      </c>
      <c r="R232" s="10"/>
      <c r="S232" s="11">
        <v>45232.0</v>
      </c>
    </row>
    <row r="233" ht="9.0" customHeight="1">
      <c r="A233" s="4" t="s">
        <v>19</v>
      </c>
      <c r="B233" s="4" t="s">
        <v>323</v>
      </c>
      <c r="C233" s="4" t="s">
        <v>323</v>
      </c>
      <c r="D233" s="1"/>
      <c r="E233" s="4" t="s">
        <v>92</v>
      </c>
      <c r="F233" s="1" t="s">
        <v>359</v>
      </c>
      <c r="G233" s="4" t="s">
        <v>360</v>
      </c>
      <c r="H233" s="5" t="s">
        <v>333</v>
      </c>
      <c r="I233" s="5"/>
      <c r="J233" s="6"/>
      <c r="K233" s="6"/>
      <c r="L233" s="7"/>
      <c r="M233" s="1"/>
      <c r="N233" s="2"/>
      <c r="O233" s="1"/>
      <c r="P233" s="9">
        <v>2200.0</v>
      </c>
      <c r="Q233" s="9">
        <v>1200.0</v>
      </c>
      <c r="R233" s="10"/>
      <c r="S233" s="11">
        <v>45500.0</v>
      </c>
    </row>
    <row r="234" ht="9.0" customHeight="1">
      <c r="A234" s="4" t="s">
        <v>19</v>
      </c>
      <c r="B234" s="4" t="s">
        <v>323</v>
      </c>
      <c r="C234" s="4" t="s">
        <v>323</v>
      </c>
      <c r="D234" s="1"/>
      <c r="E234" s="4" t="s">
        <v>308</v>
      </c>
      <c r="F234" s="1" t="s">
        <v>361</v>
      </c>
      <c r="G234" s="4" t="s">
        <v>362</v>
      </c>
      <c r="H234" s="5" t="s">
        <v>333</v>
      </c>
      <c r="I234" s="5"/>
      <c r="J234" s="6"/>
      <c r="K234" s="6"/>
      <c r="L234" s="7"/>
      <c r="M234" s="1"/>
      <c r="N234" s="2"/>
      <c r="O234" s="1"/>
      <c r="P234" s="9">
        <v>2200.0</v>
      </c>
      <c r="Q234" s="9">
        <v>1200.0</v>
      </c>
      <c r="R234" s="10"/>
      <c r="S234" s="11">
        <v>45673.0</v>
      </c>
    </row>
    <row r="235" ht="9.0" customHeight="1">
      <c r="A235" s="4" t="s">
        <v>19</v>
      </c>
      <c r="B235" s="4" t="s">
        <v>323</v>
      </c>
      <c r="C235" s="4" t="s">
        <v>323</v>
      </c>
      <c r="D235" s="1"/>
      <c r="E235" s="4" t="s">
        <v>308</v>
      </c>
      <c r="F235" s="1" t="s">
        <v>363</v>
      </c>
      <c r="G235" s="4" t="s">
        <v>364</v>
      </c>
      <c r="H235" s="5" t="s">
        <v>333</v>
      </c>
      <c r="I235" s="5"/>
      <c r="J235" s="6"/>
      <c r="K235" s="6"/>
      <c r="L235" s="7"/>
      <c r="M235" s="1"/>
      <c r="N235" s="2"/>
      <c r="O235" s="1"/>
      <c r="P235" s="9">
        <v>2200.0</v>
      </c>
      <c r="Q235" s="9">
        <v>1200.0</v>
      </c>
      <c r="R235" s="10"/>
      <c r="S235" s="11">
        <v>45674.0</v>
      </c>
    </row>
    <row r="236" ht="9.0" customHeight="1">
      <c r="A236" s="4" t="s">
        <v>19</v>
      </c>
      <c r="B236" s="4" t="s">
        <v>323</v>
      </c>
      <c r="C236" s="4" t="s">
        <v>323</v>
      </c>
      <c r="D236" s="1"/>
      <c r="E236" s="4" t="s">
        <v>344</v>
      </c>
      <c r="F236" s="1" t="s">
        <v>365</v>
      </c>
      <c r="G236" s="4" t="s">
        <v>366</v>
      </c>
      <c r="H236" s="5" t="s">
        <v>333</v>
      </c>
      <c r="I236" s="5"/>
      <c r="J236" s="6" t="s">
        <v>367</v>
      </c>
      <c r="K236" s="6"/>
      <c r="L236" s="7"/>
      <c r="M236" s="1"/>
      <c r="N236" s="8">
        <v>0.51</v>
      </c>
      <c r="O236" s="1">
        <v>651.0</v>
      </c>
      <c r="P236" s="9">
        <v>2200.0</v>
      </c>
      <c r="Q236" s="9">
        <v>1200.0</v>
      </c>
      <c r="R236" s="10"/>
      <c r="S236" s="11"/>
    </row>
    <row r="237" ht="9.0" customHeight="1">
      <c r="A237" s="4" t="s">
        <v>19</v>
      </c>
      <c r="B237" s="4" t="s">
        <v>323</v>
      </c>
      <c r="C237" s="4" t="s">
        <v>323</v>
      </c>
      <c r="D237" s="1" t="s">
        <v>325</v>
      </c>
      <c r="E237" s="4" t="s">
        <v>92</v>
      </c>
      <c r="F237" s="1" t="s">
        <v>368</v>
      </c>
      <c r="G237" s="4" t="s">
        <v>325</v>
      </c>
      <c r="H237" s="5" t="s">
        <v>369</v>
      </c>
      <c r="I237" s="5"/>
      <c r="J237" s="6"/>
      <c r="K237" s="6"/>
      <c r="L237" s="7"/>
      <c r="M237" s="1"/>
      <c r="N237" s="2"/>
      <c r="O237" s="1"/>
      <c r="P237" s="9">
        <v>5000.0</v>
      </c>
      <c r="Q237" s="9">
        <v>2800.0</v>
      </c>
      <c r="R237" s="10"/>
      <c r="S237" s="11">
        <v>44972.0</v>
      </c>
    </row>
    <row r="238" ht="9.0" customHeight="1">
      <c r="A238" s="4" t="s">
        <v>19</v>
      </c>
      <c r="B238" s="4" t="s">
        <v>323</v>
      </c>
      <c r="C238" s="4" t="s">
        <v>323</v>
      </c>
      <c r="D238" s="1" t="s">
        <v>325</v>
      </c>
      <c r="E238" s="4" t="s">
        <v>92</v>
      </c>
      <c r="F238" s="1" t="s">
        <v>370</v>
      </c>
      <c r="G238" s="4" t="s">
        <v>371</v>
      </c>
      <c r="H238" s="5" t="s">
        <v>372</v>
      </c>
      <c r="I238" s="5"/>
      <c r="J238" s="6"/>
      <c r="K238" s="6"/>
      <c r="L238" s="7"/>
      <c r="M238" s="1"/>
      <c r="N238" s="2"/>
      <c r="O238" s="1"/>
      <c r="P238" s="9">
        <v>3000.0</v>
      </c>
      <c r="Q238" s="9">
        <v>1600.0</v>
      </c>
      <c r="R238" s="10"/>
      <c r="S238" s="4"/>
    </row>
    <row r="239" ht="9.0" customHeight="1">
      <c r="A239" s="4" t="s">
        <v>19</v>
      </c>
      <c r="B239" s="4" t="s">
        <v>323</v>
      </c>
      <c r="C239" s="4" t="s">
        <v>323</v>
      </c>
      <c r="D239" s="1" t="s">
        <v>325</v>
      </c>
      <c r="E239" s="4" t="s">
        <v>92</v>
      </c>
      <c r="F239" s="1" t="s">
        <v>373</v>
      </c>
      <c r="G239" s="4" t="s">
        <v>374</v>
      </c>
      <c r="H239" s="5"/>
      <c r="I239" s="5"/>
      <c r="J239" s="6"/>
      <c r="K239" s="6"/>
      <c r="L239" s="7"/>
      <c r="M239" s="1"/>
      <c r="N239" s="2"/>
      <c r="O239" s="1"/>
      <c r="P239" s="9">
        <v>3500.0</v>
      </c>
      <c r="Q239" s="9">
        <v>1900.0</v>
      </c>
      <c r="R239" s="10"/>
      <c r="S239" s="11">
        <v>45203.0</v>
      </c>
    </row>
    <row r="240" ht="9.0" customHeight="1">
      <c r="A240" s="4" t="s">
        <v>19</v>
      </c>
      <c r="B240" s="4" t="s">
        <v>323</v>
      </c>
      <c r="C240" s="4" t="s">
        <v>323</v>
      </c>
      <c r="D240" s="1" t="s">
        <v>325</v>
      </c>
      <c r="E240" s="4" t="s">
        <v>92</v>
      </c>
      <c r="F240" s="1" t="s">
        <v>375</v>
      </c>
      <c r="G240" s="4" t="s">
        <v>376</v>
      </c>
      <c r="H240" s="5"/>
      <c r="I240" s="5"/>
      <c r="J240" s="6"/>
      <c r="K240" s="6"/>
      <c r="L240" s="7"/>
      <c r="M240" s="1"/>
      <c r="N240" s="2"/>
      <c r="O240" s="1"/>
      <c r="P240" s="9">
        <v>3500.0</v>
      </c>
      <c r="Q240" s="9">
        <v>1900.0</v>
      </c>
      <c r="R240" s="10"/>
      <c r="S240" s="11">
        <v>45197.0</v>
      </c>
    </row>
    <row r="241" ht="9.0" customHeight="1">
      <c r="A241" s="4" t="s">
        <v>19</v>
      </c>
      <c r="B241" s="4" t="s">
        <v>323</v>
      </c>
      <c r="C241" s="4" t="s">
        <v>323</v>
      </c>
      <c r="D241" s="1" t="s">
        <v>325</v>
      </c>
      <c r="E241" s="4" t="s">
        <v>92</v>
      </c>
      <c r="F241" s="1" t="s">
        <v>377</v>
      </c>
      <c r="G241" s="4" t="s">
        <v>378</v>
      </c>
      <c r="H241" s="5" t="s">
        <v>379</v>
      </c>
      <c r="I241" s="5"/>
      <c r="J241" s="6"/>
      <c r="K241" s="6"/>
      <c r="L241" s="7"/>
      <c r="M241" s="1"/>
      <c r="N241" s="2"/>
      <c r="O241" s="1"/>
      <c r="P241" s="9">
        <v>3000.0</v>
      </c>
      <c r="Q241" s="9">
        <v>1600.0</v>
      </c>
      <c r="R241" s="10"/>
      <c r="S241" s="4"/>
    </row>
    <row r="242" ht="9.0" customHeight="1">
      <c r="A242" s="4" t="s">
        <v>19</v>
      </c>
      <c r="B242" s="4" t="s">
        <v>323</v>
      </c>
      <c r="C242" s="4" t="s">
        <v>323</v>
      </c>
      <c r="D242" s="1" t="s">
        <v>325</v>
      </c>
      <c r="E242" s="4" t="s">
        <v>92</v>
      </c>
      <c r="F242" s="1" t="s">
        <v>380</v>
      </c>
      <c r="G242" s="4" t="s">
        <v>325</v>
      </c>
      <c r="H242" s="12" t="s">
        <v>381</v>
      </c>
      <c r="I242" s="12"/>
      <c r="J242" s="6"/>
      <c r="K242" s="6"/>
      <c r="L242" s="6"/>
      <c r="M242" s="1"/>
      <c r="N242" s="2"/>
      <c r="O242" s="1"/>
      <c r="P242" s="9">
        <v>3000.0</v>
      </c>
      <c r="Q242" s="9">
        <v>1600.0</v>
      </c>
      <c r="R242" s="10"/>
      <c r="S242" s="11">
        <v>44907.0</v>
      </c>
    </row>
    <row r="243" ht="9.0" customHeight="1">
      <c r="A243" s="4" t="s">
        <v>19</v>
      </c>
      <c r="B243" s="4" t="s">
        <v>323</v>
      </c>
      <c r="C243" s="4" t="s">
        <v>323</v>
      </c>
      <c r="D243" s="1" t="s">
        <v>325</v>
      </c>
      <c r="E243" s="4" t="s">
        <v>92</v>
      </c>
      <c r="F243" s="1" t="s">
        <v>382</v>
      </c>
      <c r="G243" s="4" t="s">
        <v>383</v>
      </c>
      <c r="H243" s="5" t="s">
        <v>384</v>
      </c>
      <c r="I243" s="5"/>
      <c r="J243" s="6"/>
      <c r="K243" s="6"/>
      <c r="L243" s="7"/>
      <c r="M243" s="1"/>
      <c r="N243" s="2"/>
      <c r="O243" s="1"/>
      <c r="P243" s="9">
        <v>3000.0</v>
      </c>
      <c r="Q243" s="9">
        <v>1600.0</v>
      </c>
      <c r="R243" s="10"/>
      <c r="S243" s="11">
        <v>45595.0</v>
      </c>
    </row>
    <row r="244" ht="9.0" customHeight="1">
      <c r="A244" s="4" t="s">
        <v>19</v>
      </c>
      <c r="B244" s="4" t="s">
        <v>323</v>
      </c>
      <c r="C244" s="4" t="s">
        <v>323</v>
      </c>
      <c r="D244" s="1" t="s">
        <v>325</v>
      </c>
      <c r="E244" s="4" t="s">
        <v>92</v>
      </c>
      <c r="F244" s="1" t="s">
        <v>385</v>
      </c>
      <c r="G244" s="4" t="s">
        <v>374</v>
      </c>
      <c r="H244" s="5"/>
      <c r="I244" s="5"/>
      <c r="J244" s="6"/>
      <c r="K244" s="6"/>
      <c r="L244" s="7"/>
      <c r="M244" s="1"/>
      <c r="N244" s="2"/>
      <c r="O244" s="1"/>
      <c r="P244" s="9">
        <v>3500.0</v>
      </c>
      <c r="Q244" s="9">
        <v>1900.0</v>
      </c>
      <c r="R244" s="10"/>
      <c r="S244" s="11">
        <v>45202.0</v>
      </c>
    </row>
    <row r="245" ht="9.0" customHeight="1">
      <c r="A245" s="4" t="s">
        <v>19</v>
      </c>
      <c r="B245" s="4" t="s">
        <v>323</v>
      </c>
      <c r="C245" s="4" t="s">
        <v>323</v>
      </c>
      <c r="D245" s="1" t="s">
        <v>325</v>
      </c>
      <c r="E245" s="4" t="s">
        <v>92</v>
      </c>
      <c r="F245" s="1" t="s">
        <v>386</v>
      </c>
      <c r="G245" s="4" t="s">
        <v>387</v>
      </c>
      <c r="H245" s="5" t="s">
        <v>388</v>
      </c>
      <c r="I245" s="5"/>
      <c r="J245" s="6"/>
      <c r="K245" s="6"/>
      <c r="L245" s="7"/>
      <c r="M245" s="1"/>
      <c r="N245" s="2"/>
      <c r="O245" s="1"/>
      <c r="P245" s="9">
        <v>3000.0</v>
      </c>
      <c r="Q245" s="9">
        <v>1600.0</v>
      </c>
      <c r="R245" s="10"/>
      <c r="S245" s="4"/>
    </row>
    <row r="246" ht="9.0" customHeight="1">
      <c r="A246" s="4" t="s">
        <v>19</v>
      </c>
      <c r="B246" s="4" t="s">
        <v>323</v>
      </c>
      <c r="C246" s="4" t="s">
        <v>323</v>
      </c>
      <c r="D246" s="1" t="s">
        <v>325</v>
      </c>
      <c r="E246" s="4" t="s">
        <v>92</v>
      </c>
      <c r="F246" s="1" t="s">
        <v>389</v>
      </c>
      <c r="G246" s="4" t="s">
        <v>325</v>
      </c>
      <c r="H246" s="12" t="s">
        <v>390</v>
      </c>
      <c r="I246" s="12"/>
      <c r="J246" s="6"/>
      <c r="K246" s="6"/>
      <c r="L246" s="6"/>
      <c r="M246" s="1"/>
      <c r="N246" s="2"/>
      <c r="O246" s="1"/>
      <c r="P246" s="9">
        <v>3000.0</v>
      </c>
      <c r="Q246" s="9">
        <v>1600.0</v>
      </c>
      <c r="R246" s="10"/>
      <c r="S246" s="11">
        <v>44979.0</v>
      </c>
    </row>
    <row r="247" ht="9.0" customHeight="1">
      <c r="A247" s="4" t="s">
        <v>19</v>
      </c>
      <c r="B247" s="4" t="s">
        <v>323</v>
      </c>
      <c r="C247" s="4" t="s">
        <v>323</v>
      </c>
      <c r="D247" s="1" t="s">
        <v>325</v>
      </c>
      <c r="E247" s="4" t="s">
        <v>92</v>
      </c>
      <c r="F247" s="1"/>
      <c r="G247" s="4" t="s">
        <v>391</v>
      </c>
      <c r="H247" s="5" t="s">
        <v>30</v>
      </c>
      <c r="I247" s="5"/>
      <c r="J247" s="6"/>
      <c r="K247" s="6"/>
      <c r="L247" s="7"/>
      <c r="M247" s="1"/>
      <c r="N247" s="2"/>
      <c r="O247" s="1"/>
      <c r="P247" s="9">
        <v>2400.0</v>
      </c>
      <c r="Q247" s="9">
        <v>1300.0</v>
      </c>
      <c r="R247" s="10"/>
      <c r="S247" s="11">
        <v>45811.0</v>
      </c>
    </row>
    <row r="248" ht="9.0" customHeight="1">
      <c r="A248" s="4" t="s">
        <v>19</v>
      </c>
      <c r="B248" s="4" t="s">
        <v>323</v>
      </c>
      <c r="C248" s="4" t="s">
        <v>323</v>
      </c>
      <c r="D248" s="1" t="s">
        <v>392</v>
      </c>
      <c r="E248" s="4" t="s">
        <v>92</v>
      </c>
      <c r="F248" s="1" t="s">
        <v>393</v>
      </c>
      <c r="G248" s="4" t="s">
        <v>392</v>
      </c>
      <c r="H248" s="12" t="s">
        <v>273</v>
      </c>
      <c r="I248" s="12"/>
      <c r="J248" s="6"/>
      <c r="K248" s="6"/>
      <c r="L248" s="6"/>
      <c r="M248" s="1"/>
      <c r="N248" s="2"/>
      <c r="O248" s="1"/>
      <c r="P248" s="9">
        <v>3000.0</v>
      </c>
      <c r="Q248" s="9">
        <v>1600.0</v>
      </c>
      <c r="R248" s="10"/>
      <c r="S248" s="11">
        <v>44908.0</v>
      </c>
    </row>
    <row r="249" ht="9.0" customHeight="1">
      <c r="A249" s="4" t="s">
        <v>19</v>
      </c>
      <c r="B249" s="4" t="s">
        <v>323</v>
      </c>
      <c r="C249" s="4" t="s">
        <v>323</v>
      </c>
      <c r="D249" s="1" t="s">
        <v>392</v>
      </c>
      <c r="E249" s="4" t="s">
        <v>92</v>
      </c>
      <c r="F249" s="1" t="s">
        <v>394</v>
      </c>
      <c r="G249" s="4" t="s">
        <v>392</v>
      </c>
      <c r="H249" s="5" t="s">
        <v>395</v>
      </c>
      <c r="I249" s="5"/>
      <c r="J249" s="6"/>
      <c r="K249" s="6"/>
      <c r="L249" s="7"/>
      <c r="M249" s="1"/>
      <c r="N249" s="2"/>
      <c r="O249" s="1"/>
      <c r="P249" s="9">
        <v>3000.0</v>
      </c>
      <c r="Q249" s="9">
        <v>1600.0</v>
      </c>
      <c r="R249" s="10"/>
      <c r="S249" s="11">
        <v>44860.0</v>
      </c>
    </row>
    <row r="250" ht="9.0" customHeight="1">
      <c r="A250" s="4" t="s">
        <v>19</v>
      </c>
      <c r="B250" s="4" t="s">
        <v>323</v>
      </c>
      <c r="C250" s="4" t="s">
        <v>323</v>
      </c>
      <c r="D250" s="1" t="s">
        <v>325</v>
      </c>
      <c r="E250" s="4" t="s">
        <v>22</v>
      </c>
      <c r="F250" s="1"/>
      <c r="G250" s="4" t="s">
        <v>325</v>
      </c>
      <c r="H250" s="5"/>
      <c r="I250" s="5"/>
      <c r="J250" s="6"/>
      <c r="K250" s="6"/>
      <c r="L250" s="7" t="s">
        <v>23</v>
      </c>
      <c r="M250" s="1"/>
      <c r="N250" s="8">
        <v>0.45</v>
      </c>
      <c r="O250" s="1"/>
      <c r="P250" s="9">
        <v>1400.0</v>
      </c>
      <c r="Q250" s="9">
        <v>800.0</v>
      </c>
      <c r="R250" s="10"/>
      <c r="S250" s="11"/>
    </row>
    <row r="251" ht="9.0" customHeight="1">
      <c r="A251" s="4" t="s">
        <v>19</v>
      </c>
      <c r="B251" s="4" t="s">
        <v>323</v>
      </c>
      <c r="C251" s="4" t="s">
        <v>323</v>
      </c>
      <c r="D251" s="1" t="s">
        <v>325</v>
      </c>
      <c r="E251" s="4" t="s">
        <v>22</v>
      </c>
      <c r="F251" s="1"/>
      <c r="G251" s="4" t="s">
        <v>396</v>
      </c>
      <c r="H251" s="5"/>
      <c r="I251" s="5"/>
      <c r="J251" s="6"/>
      <c r="K251" s="6"/>
      <c r="L251" s="7"/>
      <c r="M251" s="1"/>
      <c r="N251" s="2"/>
      <c r="O251" s="1"/>
      <c r="P251" s="9">
        <v>1600.0</v>
      </c>
      <c r="Q251" s="9">
        <v>900.0</v>
      </c>
      <c r="R251" s="10"/>
      <c r="S251" s="4"/>
    </row>
    <row r="252" ht="9.0" customHeight="1">
      <c r="A252" s="4" t="s">
        <v>19</v>
      </c>
      <c r="B252" s="4" t="s">
        <v>323</v>
      </c>
      <c r="C252" s="4" t="s">
        <v>323</v>
      </c>
      <c r="D252" s="1" t="s">
        <v>325</v>
      </c>
      <c r="E252" s="4" t="s">
        <v>22</v>
      </c>
      <c r="F252" s="1"/>
      <c r="G252" s="4" t="s">
        <v>397</v>
      </c>
      <c r="H252" s="5"/>
      <c r="I252" s="5"/>
      <c r="J252" s="6"/>
      <c r="K252" s="6"/>
      <c r="L252" s="7"/>
      <c r="M252" s="1"/>
      <c r="N252" s="2"/>
      <c r="O252" s="1"/>
      <c r="P252" s="9">
        <v>1600.0</v>
      </c>
      <c r="Q252" s="9">
        <v>900.0</v>
      </c>
      <c r="R252" s="10"/>
      <c r="S252" s="4"/>
    </row>
    <row r="253" ht="9.0" customHeight="1">
      <c r="A253" s="4" t="s">
        <v>19</v>
      </c>
      <c r="B253" s="4" t="s">
        <v>323</v>
      </c>
      <c r="C253" s="4" t="s">
        <v>323</v>
      </c>
      <c r="D253" s="1" t="s">
        <v>325</v>
      </c>
      <c r="E253" s="4" t="s">
        <v>22</v>
      </c>
      <c r="F253" s="1"/>
      <c r="G253" s="4" t="s">
        <v>398</v>
      </c>
      <c r="H253" s="5"/>
      <c r="I253" s="5"/>
      <c r="J253" s="6"/>
      <c r="K253" s="6"/>
      <c r="L253" s="7"/>
      <c r="M253" s="1"/>
      <c r="N253" s="2"/>
      <c r="O253" s="1"/>
      <c r="P253" s="9">
        <v>1600.0</v>
      </c>
      <c r="Q253" s="9">
        <v>900.0</v>
      </c>
      <c r="R253" s="10"/>
      <c r="S253" s="4"/>
    </row>
    <row r="254" ht="9.0" customHeight="1">
      <c r="A254" s="4" t="s">
        <v>19</v>
      </c>
      <c r="B254" s="4" t="s">
        <v>323</v>
      </c>
      <c r="C254" s="4" t="s">
        <v>323</v>
      </c>
      <c r="D254" s="1" t="s">
        <v>325</v>
      </c>
      <c r="E254" s="4" t="s">
        <v>22</v>
      </c>
      <c r="F254" s="1"/>
      <c r="G254" s="4" t="s">
        <v>399</v>
      </c>
      <c r="H254" s="5"/>
      <c r="I254" s="5"/>
      <c r="J254" s="6"/>
      <c r="K254" s="6"/>
      <c r="L254" s="7"/>
      <c r="M254" s="1"/>
      <c r="N254" s="2"/>
      <c r="O254" s="1"/>
      <c r="P254" s="9">
        <v>1600.0</v>
      </c>
      <c r="Q254" s="9">
        <v>900.0</v>
      </c>
      <c r="R254" s="10"/>
      <c r="S254" s="4"/>
    </row>
    <row r="255" ht="9.0" customHeight="1">
      <c r="A255" s="4" t="s">
        <v>19</v>
      </c>
      <c r="B255" s="4" t="s">
        <v>323</v>
      </c>
      <c r="C255" s="4" t="s">
        <v>323</v>
      </c>
      <c r="D255" s="1" t="s">
        <v>325</v>
      </c>
      <c r="E255" s="4" t="s">
        <v>22</v>
      </c>
      <c r="F255" s="1"/>
      <c r="G255" s="4" t="s">
        <v>400</v>
      </c>
      <c r="H255" s="5"/>
      <c r="I255" s="5"/>
      <c r="J255" s="6"/>
      <c r="K255" s="6"/>
      <c r="L255" s="7"/>
      <c r="M255" s="1"/>
      <c r="N255" s="2"/>
      <c r="O255" s="1"/>
      <c r="P255" s="9">
        <v>1600.0</v>
      </c>
      <c r="Q255" s="9">
        <v>900.0</v>
      </c>
      <c r="R255" s="10"/>
      <c r="S255" s="11">
        <v>44827.0</v>
      </c>
    </row>
    <row r="256" ht="9.0" customHeight="1">
      <c r="A256" s="4" t="s">
        <v>19</v>
      </c>
      <c r="B256" s="4" t="s">
        <v>323</v>
      </c>
      <c r="C256" s="4" t="s">
        <v>323</v>
      </c>
      <c r="D256" s="1" t="s">
        <v>325</v>
      </c>
      <c r="E256" s="4" t="s">
        <v>22</v>
      </c>
      <c r="F256" s="1"/>
      <c r="G256" s="4" t="s">
        <v>401</v>
      </c>
      <c r="H256" s="5"/>
      <c r="I256" s="5"/>
      <c r="J256" s="6"/>
      <c r="K256" s="6"/>
      <c r="L256" s="7"/>
      <c r="M256" s="1"/>
      <c r="N256" s="2"/>
      <c r="O256" s="1"/>
      <c r="P256" s="9">
        <v>1600.0</v>
      </c>
      <c r="Q256" s="9">
        <v>900.0</v>
      </c>
      <c r="R256" s="10"/>
      <c r="S256" s="4"/>
    </row>
    <row r="257" ht="9.0" customHeight="1">
      <c r="A257" s="4" t="s">
        <v>19</v>
      </c>
      <c r="B257" s="4" t="s">
        <v>323</v>
      </c>
      <c r="C257" s="4" t="s">
        <v>323</v>
      </c>
      <c r="D257" s="1" t="s">
        <v>325</v>
      </c>
      <c r="E257" s="4" t="s">
        <v>22</v>
      </c>
      <c r="F257" s="1"/>
      <c r="G257" s="4" t="s">
        <v>402</v>
      </c>
      <c r="H257" s="5"/>
      <c r="I257" s="5"/>
      <c r="J257" s="6"/>
      <c r="K257" s="6"/>
      <c r="L257" s="7"/>
      <c r="M257" s="1"/>
      <c r="N257" s="2"/>
      <c r="O257" s="1"/>
      <c r="P257" s="9">
        <v>1600.0</v>
      </c>
      <c r="Q257" s="9">
        <v>900.0</v>
      </c>
      <c r="R257" s="10"/>
      <c r="S257" s="11">
        <v>45545.0</v>
      </c>
    </row>
    <row r="258" ht="9.0" customHeight="1">
      <c r="A258" s="4" t="s">
        <v>19</v>
      </c>
      <c r="B258" s="4" t="s">
        <v>323</v>
      </c>
      <c r="C258" s="4" t="s">
        <v>323</v>
      </c>
      <c r="D258" s="1" t="s">
        <v>325</v>
      </c>
      <c r="E258" s="4" t="s">
        <v>22</v>
      </c>
      <c r="F258" s="1"/>
      <c r="G258" s="4" t="s">
        <v>403</v>
      </c>
      <c r="H258" s="5"/>
      <c r="I258" s="5"/>
      <c r="J258" s="6"/>
      <c r="K258" s="6"/>
      <c r="L258" s="7"/>
      <c r="M258" s="1"/>
      <c r="N258" s="2"/>
      <c r="O258" s="1"/>
      <c r="P258" s="9">
        <v>2000.0</v>
      </c>
      <c r="Q258" s="9">
        <v>1100.0</v>
      </c>
      <c r="R258" s="10"/>
      <c r="S258" s="4"/>
    </row>
    <row r="259" ht="9.0" customHeight="1">
      <c r="A259" s="4" t="s">
        <v>19</v>
      </c>
      <c r="B259" s="4" t="s">
        <v>323</v>
      </c>
      <c r="C259" s="4" t="s">
        <v>323</v>
      </c>
      <c r="D259" s="1" t="s">
        <v>325</v>
      </c>
      <c r="E259" s="4" t="s">
        <v>22</v>
      </c>
      <c r="F259" s="1"/>
      <c r="G259" s="4" t="s">
        <v>404</v>
      </c>
      <c r="H259" s="5"/>
      <c r="I259" s="5"/>
      <c r="J259" s="6"/>
      <c r="K259" s="6"/>
      <c r="L259" s="7"/>
      <c r="M259" s="1"/>
      <c r="N259" s="2"/>
      <c r="O259" s="1"/>
      <c r="P259" s="9">
        <v>2400.0</v>
      </c>
      <c r="Q259" s="9">
        <v>1300.0</v>
      </c>
      <c r="R259" s="10"/>
      <c r="S259" s="4"/>
    </row>
    <row r="260" ht="9.0" customHeight="1">
      <c r="A260" s="4" t="s">
        <v>19</v>
      </c>
      <c r="B260" s="4" t="s">
        <v>323</v>
      </c>
      <c r="C260" s="4" t="s">
        <v>323</v>
      </c>
      <c r="D260" s="1" t="s">
        <v>325</v>
      </c>
      <c r="E260" s="4" t="s">
        <v>22</v>
      </c>
      <c r="F260" s="1"/>
      <c r="G260" s="4" t="s">
        <v>405</v>
      </c>
      <c r="H260" s="5"/>
      <c r="I260" s="5"/>
      <c r="J260" s="6"/>
      <c r="K260" s="6"/>
      <c r="L260" s="7"/>
      <c r="M260" s="1"/>
      <c r="N260" s="2"/>
      <c r="O260" s="1"/>
      <c r="P260" s="9">
        <v>2400.0</v>
      </c>
      <c r="Q260" s="9">
        <v>1300.0</v>
      </c>
      <c r="R260" s="10"/>
      <c r="S260" s="11">
        <v>44854.0</v>
      </c>
    </row>
    <row r="261" ht="9.0" customHeight="1">
      <c r="A261" s="4" t="s">
        <v>19</v>
      </c>
      <c r="B261" s="4" t="s">
        <v>323</v>
      </c>
      <c r="C261" s="4" t="s">
        <v>323</v>
      </c>
      <c r="D261" s="1" t="s">
        <v>325</v>
      </c>
      <c r="E261" s="4" t="s">
        <v>22</v>
      </c>
      <c r="F261" s="1"/>
      <c r="G261" s="4" t="s">
        <v>406</v>
      </c>
      <c r="H261" s="5"/>
      <c r="I261" s="5"/>
      <c r="J261" s="6"/>
      <c r="K261" s="6"/>
      <c r="L261" s="7"/>
      <c r="M261" s="1"/>
      <c r="N261" s="2"/>
      <c r="O261" s="1"/>
      <c r="P261" s="9">
        <v>2000.0</v>
      </c>
      <c r="Q261" s="9">
        <v>1100.0</v>
      </c>
      <c r="R261" s="10"/>
      <c r="S261" s="11">
        <v>44853.0</v>
      </c>
    </row>
    <row r="262" ht="9.0" customHeight="1">
      <c r="A262" s="4" t="s">
        <v>19</v>
      </c>
      <c r="B262" s="4" t="s">
        <v>323</v>
      </c>
      <c r="C262" s="4" t="s">
        <v>323</v>
      </c>
      <c r="D262" s="1" t="s">
        <v>325</v>
      </c>
      <c r="E262" s="4" t="s">
        <v>22</v>
      </c>
      <c r="F262" s="1"/>
      <c r="G262" s="4" t="s">
        <v>407</v>
      </c>
      <c r="H262" s="5"/>
      <c r="I262" s="5"/>
      <c r="J262" s="6"/>
      <c r="K262" s="6"/>
      <c r="L262" s="7"/>
      <c r="M262" s="1"/>
      <c r="N262" s="2"/>
      <c r="O262" s="1"/>
      <c r="P262" s="9">
        <v>2000.0</v>
      </c>
      <c r="Q262" s="9">
        <v>1100.0</v>
      </c>
      <c r="R262" s="10"/>
      <c r="S262" s="11">
        <v>45328.0</v>
      </c>
    </row>
    <row r="263" ht="9.0" customHeight="1">
      <c r="A263" s="4" t="s">
        <v>19</v>
      </c>
      <c r="B263" s="4" t="s">
        <v>323</v>
      </c>
      <c r="C263" s="4" t="s">
        <v>323</v>
      </c>
      <c r="D263" s="1" t="s">
        <v>325</v>
      </c>
      <c r="E263" s="4" t="s">
        <v>22</v>
      </c>
      <c r="F263" s="1"/>
      <c r="G263" s="4" t="s">
        <v>408</v>
      </c>
      <c r="H263" s="5"/>
      <c r="I263" s="5"/>
      <c r="J263" s="6"/>
      <c r="K263" s="6"/>
      <c r="L263" s="7"/>
      <c r="M263" s="1"/>
      <c r="N263" s="2"/>
      <c r="O263" s="1"/>
      <c r="P263" s="9">
        <v>2000.0</v>
      </c>
      <c r="Q263" s="9">
        <v>1100.0</v>
      </c>
      <c r="R263" s="10"/>
      <c r="S263" s="4"/>
    </row>
    <row r="264" ht="9.0" customHeight="1">
      <c r="A264" s="4" t="s">
        <v>19</v>
      </c>
      <c r="B264" s="4" t="s">
        <v>323</v>
      </c>
      <c r="C264" s="4" t="s">
        <v>323</v>
      </c>
      <c r="D264" s="1" t="s">
        <v>325</v>
      </c>
      <c r="E264" s="4" t="s">
        <v>22</v>
      </c>
      <c r="F264" s="1"/>
      <c r="G264" s="4" t="s">
        <v>409</v>
      </c>
      <c r="H264" s="5"/>
      <c r="I264" s="5"/>
      <c r="J264" s="6"/>
      <c r="K264" s="6"/>
      <c r="L264" s="7"/>
      <c r="M264" s="1"/>
      <c r="N264" s="2"/>
      <c r="O264" s="1"/>
      <c r="P264" s="9">
        <v>2000.0</v>
      </c>
      <c r="Q264" s="9">
        <v>1100.0</v>
      </c>
      <c r="R264" s="10"/>
      <c r="S264" s="11">
        <v>45703.0</v>
      </c>
    </row>
    <row r="265" ht="9.0" customHeight="1">
      <c r="A265" s="4" t="s">
        <v>19</v>
      </c>
      <c r="B265" s="4" t="s">
        <v>323</v>
      </c>
      <c r="C265" s="4" t="s">
        <v>323</v>
      </c>
      <c r="D265" s="1" t="s">
        <v>325</v>
      </c>
      <c r="E265" s="4" t="s">
        <v>22</v>
      </c>
      <c r="F265" s="1"/>
      <c r="G265" s="4" t="s">
        <v>410</v>
      </c>
      <c r="H265" s="5"/>
      <c r="I265" s="5"/>
      <c r="J265" s="6"/>
      <c r="K265" s="6"/>
      <c r="L265" s="7"/>
      <c r="M265" s="1"/>
      <c r="N265" s="2"/>
      <c r="O265" s="1"/>
      <c r="P265" s="9">
        <v>2000.0</v>
      </c>
      <c r="Q265" s="9">
        <v>1100.0</v>
      </c>
      <c r="R265" s="10"/>
      <c r="S265" s="11">
        <v>45704.0</v>
      </c>
    </row>
    <row r="266" ht="9.0" customHeight="1">
      <c r="A266" s="4" t="s">
        <v>19</v>
      </c>
      <c r="B266" s="4" t="s">
        <v>323</v>
      </c>
      <c r="C266" s="4" t="s">
        <v>323</v>
      </c>
      <c r="D266" s="1" t="s">
        <v>325</v>
      </c>
      <c r="E266" s="4" t="s">
        <v>22</v>
      </c>
      <c r="F266" s="1"/>
      <c r="G266" s="4" t="s">
        <v>411</v>
      </c>
      <c r="H266" s="5"/>
      <c r="I266" s="5"/>
      <c r="J266" s="6"/>
      <c r="K266" s="6"/>
      <c r="L266" s="7"/>
      <c r="M266" s="1"/>
      <c r="N266" s="2"/>
      <c r="O266" s="1"/>
      <c r="P266" s="9">
        <v>2000.0</v>
      </c>
      <c r="Q266" s="9">
        <v>1100.0</v>
      </c>
      <c r="R266" s="10"/>
      <c r="S266" s="4"/>
    </row>
    <row r="267" ht="9.0" customHeight="1">
      <c r="A267" s="4" t="s">
        <v>19</v>
      </c>
      <c r="B267" s="4" t="s">
        <v>323</v>
      </c>
      <c r="C267" s="4" t="s">
        <v>323</v>
      </c>
      <c r="D267" s="1" t="s">
        <v>325</v>
      </c>
      <c r="E267" s="4" t="s">
        <v>22</v>
      </c>
      <c r="F267" s="1"/>
      <c r="G267" s="4" t="s">
        <v>412</v>
      </c>
      <c r="H267" s="12" t="s">
        <v>413</v>
      </c>
      <c r="I267" s="12"/>
      <c r="J267" s="6"/>
      <c r="K267" s="6"/>
      <c r="L267" s="6"/>
      <c r="M267" s="1"/>
      <c r="N267" s="2"/>
      <c r="O267" s="1"/>
      <c r="P267" s="9">
        <v>2600.0</v>
      </c>
      <c r="Q267" s="9">
        <v>1400.0</v>
      </c>
      <c r="R267" s="10"/>
      <c r="S267" s="11">
        <v>45325.0</v>
      </c>
    </row>
    <row r="268" ht="9.0" customHeight="1">
      <c r="A268" s="4" t="s">
        <v>19</v>
      </c>
      <c r="B268" s="4" t="s">
        <v>323</v>
      </c>
      <c r="C268" s="4" t="s">
        <v>323</v>
      </c>
      <c r="D268" s="1" t="s">
        <v>325</v>
      </c>
      <c r="E268" s="4" t="s">
        <v>22</v>
      </c>
      <c r="F268" s="1"/>
      <c r="G268" s="4" t="s">
        <v>414</v>
      </c>
      <c r="H268" s="12" t="s">
        <v>413</v>
      </c>
      <c r="I268" s="12"/>
      <c r="J268" s="6"/>
      <c r="K268" s="6"/>
      <c r="L268" s="6"/>
      <c r="M268" s="1"/>
      <c r="N268" s="2"/>
      <c r="O268" s="1"/>
      <c r="P268" s="9">
        <v>2600.0</v>
      </c>
      <c r="Q268" s="9">
        <v>1400.0</v>
      </c>
      <c r="R268" s="10"/>
      <c r="S268" s="11">
        <v>45327.0</v>
      </c>
    </row>
    <row r="269" ht="9.0" customHeight="1">
      <c r="A269" s="4" t="s">
        <v>19</v>
      </c>
      <c r="B269" s="4" t="s">
        <v>323</v>
      </c>
      <c r="C269" s="4" t="s">
        <v>323</v>
      </c>
      <c r="D269" s="1" t="s">
        <v>325</v>
      </c>
      <c r="E269" s="4" t="s">
        <v>22</v>
      </c>
      <c r="F269" s="1"/>
      <c r="G269" s="4" t="s">
        <v>415</v>
      </c>
      <c r="H269" s="12" t="s">
        <v>413</v>
      </c>
      <c r="I269" s="12"/>
      <c r="J269" s="6"/>
      <c r="K269" s="6"/>
      <c r="L269" s="6"/>
      <c r="M269" s="1"/>
      <c r="N269" s="2"/>
      <c r="O269" s="1"/>
      <c r="P269" s="9">
        <v>2600.0</v>
      </c>
      <c r="Q269" s="9">
        <v>1400.0</v>
      </c>
      <c r="R269" s="10"/>
      <c r="S269" s="11">
        <v>45324.0</v>
      </c>
    </row>
    <row r="270" ht="9.0" customHeight="1">
      <c r="A270" s="4" t="s">
        <v>19</v>
      </c>
      <c r="B270" s="4" t="s">
        <v>323</v>
      </c>
      <c r="C270" s="4" t="s">
        <v>323</v>
      </c>
      <c r="D270" s="1" t="s">
        <v>325</v>
      </c>
      <c r="E270" s="4" t="s">
        <v>22</v>
      </c>
      <c r="F270" s="1"/>
      <c r="G270" s="4" t="s">
        <v>416</v>
      </c>
      <c r="H270" s="5"/>
      <c r="I270" s="5"/>
      <c r="J270" s="6"/>
      <c r="K270" s="6"/>
      <c r="L270" s="7"/>
      <c r="M270" s="1"/>
      <c r="N270" s="2"/>
      <c r="O270" s="1"/>
      <c r="P270" s="9"/>
      <c r="Q270" s="9"/>
      <c r="R270" s="10">
        <v>4000.0</v>
      </c>
      <c r="S270" s="11">
        <v>45686.0</v>
      </c>
    </row>
    <row r="271" ht="9.0" customHeight="1">
      <c r="A271" s="4" t="s">
        <v>19</v>
      </c>
      <c r="B271" s="4" t="s">
        <v>323</v>
      </c>
      <c r="C271" s="4" t="s">
        <v>323</v>
      </c>
      <c r="D271" s="1" t="s">
        <v>325</v>
      </c>
      <c r="E271" s="4" t="s">
        <v>22</v>
      </c>
      <c r="F271" s="1"/>
      <c r="G271" s="4" t="s">
        <v>417</v>
      </c>
      <c r="H271" s="5"/>
      <c r="I271" s="5"/>
      <c r="J271" s="6"/>
      <c r="K271" s="6"/>
      <c r="L271" s="7"/>
      <c r="M271" s="1"/>
      <c r="N271" s="2"/>
      <c r="O271" s="1"/>
      <c r="P271" s="9"/>
      <c r="Q271" s="9"/>
      <c r="R271" s="10">
        <v>7000.0</v>
      </c>
      <c r="S271" s="11">
        <v>45005.0</v>
      </c>
    </row>
    <row r="272" ht="9.0" customHeight="1">
      <c r="A272" s="4" t="s">
        <v>19</v>
      </c>
      <c r="B272" s="4" t="s">
        <v>323</v>
      </c>
      <c r="C272" s="4" t="s">
        <v>323</v>
      </c>
      <c r="D272" s="1" t="s">
        <v>325</v>
      </c>
      <c r="E272" s="4" t="s">
        <v>22</v>
      </c>
      <c r="F272" s="1"/>
      <c r="G272" s="4" t="s">
        <v>418</v>
      </c>
      <c r="H272" s="5"/>
      <c r="I272" s="5"/>
      <c r="J272" s="6"/>
      <c r="K272" s="6"/>
      <c r="L272" s="7"/>
      <c r="M272" s="1"/>
      <c r="N272" s="2"/>
      <c r="O272" s="1"/>
      <c r="P272" s="9"/>
      <c r="Q272" s="9"/>
      <c r="R272" s="10">
        <v>7000.0</v>
      </c>
      <c r="S272" s="11">
        <v>45006.0</v>
      </c>
    </row>
    <row r="273" ht="9.0" customHeight="1">
      <c r="A273" s="4" t="s">
        <v>19</v>
      </c>
      <c r="B273" s="4" t="s">
        <v>323</v>
      </c>
      <c r="C273" s="4" t="s">
        <v>323</v>
      </c>
      <c r="D273" s="1" t="s">
        <v>392</v>
      </c>
      <c r="E273" s="4" t="s">
        <v>22</v>
      </c>
      <c r="F273" s="1"/>
      <c r="G273" s="4" t="s">
        <v>419</v>
      </c>
      <c r="H273" s="5"/>
      <c r="I273" s="5"/>
      <c r="J273" s="6"/>
      <c r="K273" s="6"/>
      <c r="L273" s="7"/>
      <c r="M273" s="1"/>
      <c r="N273" s="2"/>
      <c r="O273" s="1"/>
      <c r="P273" s="9">
        <v>1600.0</v>
      </c>
      <c r="Q273" s="9">
        <v>900.0</v>
      </c>
      <c r="R273" s="10"/>
      <c r="S273" s="11">
        <v>45773.0</v>
      </c>
    </row>
    <row r="274" ht="9.0" customHeight="1">
      <c r="A274" s="4" t="s">
        <v>19</v>
      </c>
      <c r="B274" s="4" t="s">
        <v>323</v>
      </c>
      <c r="C274" s="4" t="s">
        <v>323</v>
      </c>
      <c r="D274" s="1" t="s">
        <v>392</v>
      </c>
      <c r="E274" s="4" t="s">
        <v>22</v>
      </c>
      <c r="F274" s="1"/>
      <c r="G274" s="4" t="s">
        <v>420</v>
      </c>
      <c r="H274" s="5"/>
      <c r="I274" s="5"/>
      <c r="J274" s="6"/>
      <c r="K274" s="6"/>
      <c r="L274" s="7" t="s">
        <v>23</v>
      </c>
      <c r="M274" s="1"/>
      <c r="N274" s="2"/>
      <c r="O274" s="1"/>
      <c r="P274" s="9">
        <v>1400.0</v>
      </c>
      <c r="Q274" s="9">
        <v>800.0</v>
      </c>
      <c r="R274" s="10"/>
      <c r="S274" s="11">
        <v>45774.0</v>
      </c>
    </row>
    <row r="275" ht="9.0" customHeight="1">
      <c r="A275" s="4" t="s">
        <v>19</v>
      </c>
      <c r="B275" s="4" t="s">
        <v>323</v>
      </c>
      <c r="C275" s="4" t="s">
        <v>323</v>
      </c>
      <c r="D275" s="1" t="s">
        <v>392</v>
      </c>
      <c r="E275" s="4" t="s">
        <v>22</v>
      </c>
      <c r="F275" s="1"/>
      <c r="G275" s="4" t="s">
        <v>421</v>
      </c>
      <c r="H275" s="5"/>
      <c r="I275" s="5"/>
      <c r="J275" s="6"/>
      <c r="K275" s="6"/>
      <c r="L275" s="7"/>
      <c r="M275" s="1"/>
      <c r="N275" s="2"/>
      <c r="O275" s="1"/>
      <c r="P275" s="9">
        <v>2000.0</v>
      </c>
      <c r="Q275" s="9">
        <v>1100.0</v>
      </c>
      <c r="R275" s="10"/>
      <c r="S275" s="11"/>
    </row>
    <row r="276" ht="9.0" customHeight="1">
      <c r="A276" s="4" t="s">
        <v>19</v>
      </c>
      <c r="B276" s="4" t="s">
        <v>323</v>
      </c>
      <c r="C276" s="4" t="s">
        <v>323</v>
      </c>
      <c r="D276" s="1" t="s">
        <v>392</v>
      </c>
      <c r="E276" s="4" t="s">
        <v>22</v>
      </c>
      <c r="F276" s="1"/>
      <c r="G276" s="4" t="s">
        <v>422</v>
      </c>
      <c r="H276" s="5"/>
      <c r="I276" s="5"/>
      <c r="J276" s="6"/>
      <c r="K276" s="6"/>
      <c r="L276" s="7"/>
      <c r="M276" s="1"/>
      <c r="N276" s="2"/>
      <c r="O276" s="1"/>
      <c r="P276" s="9">
        <v>2000.0</v>
      </c>
      <c r="Q276" s="9">
        <v>1100.0</v>
      </c>
      <c r="R276" s="10"/>
      <c r="S276" s="11">
        <v>45275.0</v>
      </c>
    </row>
    <row r="277" ht="9.0" customHeight="1">
      <c r="A277" s="4" t="s">
        <v>19</v>
      </c>
      <c r="B277" s="4" t="s">
        <v>323</v>
      </c>
      <c r="C277" s="4" t="s">
        <v>323</v>
      </c>
      <c r="D277" s="1" t="s">
        <v>325</v>
      </c>
      <c r="E277" s="4" t="s">
        <v>344</v>
      </c>
      <c r="F277" s="1"/>
      <c r="G277" s="4" t="s">
        <v>423</v>
      </c>
      <c r="H277" s="12" t="s">
        <v>424</v>
      </c>
      <c r="I277" s="12"/>
      <c r="J277" s="6"/>
      <c r="K277" s="6"/>
      <c r="L277" s="6"/>
      <c r="M277" s="1"/>
      <c r="N277" s="2"/>
      <c r="O277" s="1"/>
      <c r="P277" s="9">
        <v>2400.0</v>
      </c>
      <c r="Q277" s="9">
        <v>1300.0</v>
      </c>
      <c r="R277" s="10"/>
      <c r="S277" s="11">
        <v>45029.0</v>
      </c>
    </row>
    <row r="278" ht="9.0" customHeight="1">
      <c r="A278" s="4" t="s">
        <v>19</v>
      </c>
      <c r="B278" s="4" t="s">
        <v>323</v>
      </c>
      <c r="C278" s="4" t="s">
        <v>323</v>
      </c>
      <c r="D278" s="1" t="s">
        <v>325</v>
      </c>
      <c r="E278" s="4" t="s">
        <v>344</v>
      </c>
      <c r="F278" s="1"/>
      <c r="G278" s="4" t="s">
        <v>425</v>
      </c>
      <c r="H278" s="5"/>
      <c r="I278" s="5"/>
      <c r="J278" s="6"/>
      <c r="K278" s="6"/>
      <c r="L278" s="7"/>
      <c r="M278" s="1"/>
      <c r="N278" s="2"/>
      <c r="O278" s="1"/>
      <c r="P278" s="9">
        <v>2400.0</v>
      </c>
      <c r="Q278" s="9">
        <v>1300.0</v>
      </c>
      <c r="R278" s="10"/>
      <c r="S278" s="11">
        <v>45031.0</v>
      </c>
    </row>
    <row r="279" ht="9.0" customHeight="1">
      <c r="A279" s="4" t="s">
        <v>19</v>
      </c>
      <c r="B279" s="4" t="s">
        <v>323</v>
      </c>
      <c r="C279" s="4" t="s">
        <v>323</v>
      </c>
      <c r="D279" s="1"/>
      <c r="E279" s="5" t="s">
        <v>38</v>
      </c>
      <c r="F279" s="1"/>
      <c r="G279" s="4" t="s">
        <v>426</v>
      </c>
      <c r="H279" s="5"/>
      <c r="I279" s="5"/>
      <c r="J279" s="6"/>
      <c r="K279" s="6"/>
      <c r="L279" s="7" t="s">
        <v>23</v>
      </c>
      <c r="M279" s="1"/>
      <c r="N279" s="2"/>
      <c r="O279" s="1"/>
      <c r="P279" s="9">
        <v>1100.0</v>
      </c>
      <c r="Q279" s="9">
        <v>650.0</v>
      </c>
      <c r="R279" s="10"/>
      <c r="S279" s="4"/>
    </row>
    <row r="280" ht="9.0" customHeight="1">
      <c r="A280" s="4" t="s">
        <v>19</v>
      </c>
      <c r="B280" s="4" t="s">
        <v>323</v>
      </c>
      <c r="C280" s="4" t="s">
        <v>323</v>
      </c>
      <c r="D280" s="1"/>
      <c r="E280" s="5" t="s">
        <v>38</v>
      </c>
      <c r="F280" s="1"/>
      <c r="G280" s="4" t="s">
        <v>427</v>
      </c>
      <c r="H280" s="5"/>
      <c r="I280" s="5"/>
      <c r="J280" s="6"/>
      <c r="K280" s="6"/>
      <c r="L280" s="7"/>
      <c r="M280" s="1"/>
      <c r="N280" s="2"/>
      <c r="O280" s="1"/>
      <c r="P280" s="9">
        <v>1500.0</v>
      </c>
      <c r="Q280" s="9">
        <v>850.0</v>
      </c>
      <c r="R280" s="10"/>
      <c r="S280" s="4"/>
    </row>
    <row r="281" ht="9.0" customHeight="1">
      <c r="A281" s="4" t="s">
        <v>19</v>
      </c>
      <c r="B281" s="4" t="s">
        <v>323</v>
      </c>
      <c r="C281" s="4" t="s">
        <v>323</v>
      </c>
      <c r="D281" s="1"/>
      <c r="E281" s="5" t="s">
        <v>38</v>
      </c>
      <c r="F281" s="1"/>
      <c r="G281" s="4" t="s">
        <v>428</v>
      </c>
      <c r="H281" s="5" t="s">
        <v>429</v>
      </c>
      <c r="I281" s="5"/>
      <c r="J281" s="6"/>
      <c r="K281" s="6"/>
      <c r="L281" s="7"/>
      <c r="M281" s="1"/>
      <c r="N281" s="2"/>
      <c r="O281" s="1"/>
      <c r="P281" s="9">
        <v>2000.0</v>
      </c>
      <c r="Q281" s="9">
        <v>1100.0</v>
      </c>
      <c r="R281" s="10"/>
      <c r="S281" s="11">
        <v>45737.0</v>
      </c>
    </row>
    <row r="282" ht="9.0" customHeight="1">
      <c r="A282" s="4" t="s">
        <v>19</v>
      </c>
      <c r="B282" s="4" t="s">
        <v>323</v>
      </c>
      <c r="C282" s="4" t="s">
        <v>323</v>
      </c>
      <c r="D282" s="1"/>
      <c r="E282" s="5" t="s">
        <v>38</v>
      </c>
      <c r="F282" s="1"/>
      <c r="G282" s="4" t="s">
        <v>430</v>
      </c>
      <c r="H282" s="5"/>
      <c r="I282" s="5"/>
      <c r="J282" s="6"/>
      <c r="K282" s="6"/>
      <c r="L282" s="7"/>
      <c r="M282" s="1"/>
      <c r="N282" s="2"/>
      <c r="O282" s="1"/>
      <c r="P282" s="9">
        <v>1600.0</v>
      </c>
      <c r="Q282" s="9">
        <v>900.0</v>
      </c>
      <c r="R282" s="10"/>
      <c r="S282" s="11">
        <v>45009.0</v>
      </c>
    </row>
    <row r="283" ht="9.0" customHeight="1">
      <c r="A283" s="4" t="s">
        <v>19</v>
      </c>
      <c r="B283" s="4" t="s">
        <v>323</v>
      </c>
      <c r="C283" s="4" t="s">
        <v>323</v>
      </c>
      <c r="D283" s="1"/>
      <c r="E283" s="5" t="s">
        <v>38</v>
      </c>
      <c r="F283" s="1"/>
      <c r="G283" s="4" t="s">
        <v>431</v>
      </c>
      <c r="H283" s="5"/>
      <c r="I283" s="5"/>
      <c r="J283" s="6"/>
      <c r="K283" s="6"/>
      <c r="L283" s="7"/>
      <c r="M283" s="1"/>
      <c r="N283" s="2"/>
      <c r="O283" s="1"/>
      <c r="P283" s="9">
        <v>3500.0</v>
      </c>
      <c r="Q283" s="9">
        <v>1900.0</v>
      </c>
      <c r="R283" s="10"/>
      <c r="S283" s="11">
        <v>45065.0</v>
      </c>
    </row>
    <row r="284" ht="9.0" customHeight="1">
      <c r="A284" s="4" t="s">
        <v>19</v>
      </c>
      <c r="B284" s="4" t="s">
        <v>323</v>
      </c>
      <c r="C284" s="4" t="s">
        <v>323</v>
      </c>
      <c r="D284" s="1"/>
      <c r="E284" s="5" t="s">
        <v>38</v>
      </c>
      <c r="F284" s="1"/>
      <c r="G284" s="4" t="s">
        <v>432</v>
      </c>
      <c r="H284" s="5" t="s">
        <v>30</v>
      </c>
      <c r="I284" s="5"/>
      <c r="J284" s="6"/>
      <c r="K284" s="6"/>
      <c r="L284" s="7" t="s">
        <v>23</v>
      </c>
      <c r="M284" s="1"/>
      <c r="N284" s="2"/>
      <c r="O284" s="1"/>
      <c r="P284" s="9">
        <v>1200.0</v>
      </c>
      <c r="Q284" s="9">
        <v>700.0</v>
      </c>
      <c r="R284" s="10"/>
      <c r="S284" s="11"/>
    </row>
    <row r="285" ht="9.0" customHeight="1">
      <c r="A285" s="4" t="s">
        <v>19</v>
      </c>
      <c r="B285" s="4" t="s">
        <v>323</v>
      </c>
      <c r="C285" s="4" t="s">
        <v>323</v>
      </c>
      <c r="D285" s="1"/>
      <c r="E285" s="4" t="s">
        <v>44</v>
      </c>
      <c r="F285" s="1"/>
      <c r="G285" s="4" t="s">
        <v>433</v>
      </c>
      <c r="H285" s="5"/>
      <c r="I285" s="5"/>
      <c r="J285" s="6"/>
      <c r="K285" s="6"/>
      <c r="L285" s="7" t="s">
        <v>23</v>
      </c>
      <c r="M285" s="1"/>
      <c r="N285" s="2"/>
      <c r="O285" s="1"/>
      <c r="P285" s="9">
        <v>900.0</v>
      </c>
      <c r="Q285" s="9">
        <v>550.0</v>
      </c>
      <c r="R285" s="10"/>
      <c r="S285" s="11">
        <v>45470.0</v>
      </c>
    </row>
    <row r="286" ht="9.0" customHeight="1">
      <c r="A286" s="4" t="s">
        <v>19</v>
      </c>
      <c r="B286" s="4" t="s">
        <v>323</v>
      </c>
      <c r="C286" s="4" t="s">
        <v>323</v>
      </c>
      <c r="D286" s="1"/>
      <c r="E286" s="4" t="s">
        <v>44</v>
      </c>
      <c r="F286" s="1"/>
      <c r="G286" s="4" t="s">
        <v>434</v>
      </c>
      <c r="H286" s="5"/>
      <c r="I286" s="5"/>
      <c r="J286" s="6"/>
      <c r="K286" s="6"/>
      <c r="L286" s="7" t="s">
        <v>23</v>
      </c>
      <c r="M286" s="1"/>
      <c r="N286" s="2"/>
      <c r="O286" s="1"/>
      <c r="P286" s="9">
        <v>1000.0</v>
      </c>
      <c r="Q286" s="9">
        <v>600.0</v>
      </c>
      <c r="R286" s="10"/>
      <c r="S286" s="11">
        <v>45452.0</v>
      </c>
    </row>
    <row r="287" ht="9.0" customHeight="1">
      <c r="A287" s="4" t="s">
        <v>19</v>
      </c>
      <c r="B287" s="4" t="s">
        <v>323</v>
      </c>
      <c r="C287" s="4" t="s">
        <v>323</v>
      </c>
      <c r="D287" s="1"/>
      <c r="E287" s="4" t="s">
        <v>44</v>
      </c>
      <c r="F287" s="1"/>
      <c r="G287" s="4" t="s">
        <v>435</v>
      </c>
      <c r="H287" s="5"/>
      <c r="I287" s="5"/>
      <c r="J287" s="6"/>
      <c r="K287" s="6"/>
      <c r="L287" s="7"/>
      <c r="M287" s="1"/>
      <c r="N287" s="2"/>
      <c r="O287" s="1"/>
      <c r="P287" s="9">
        <v>1200.0</v>
      </c>
      <c r="Q287" s="9">
        <v>700.0</v>
      </c>
      <c r="R287" s="10"/>
      <c r="S287" s="11">
        <v>45469.0</v>
      </c>
    </row>
    <row r="288" ht="9.0" customHeight="1">
      <c r="A288" s="4" t="s">
        <v>19</v>
      </c>
      <c r="B288" s="4" t="s">
        <v>323</v>
      </c>
      <c r="C288" s="4" t="s">
        <v>323</v>
      </c>
      <c r="D288" s="1"/>
      <c r="E288" s="4" t="s">
        <v>44</v>
      </c>
      <c r="F288" s="1"/>
      <c r="G288" s="4" t="s">
        <v>436</v>
      </c>
      <c r="H288" s="5" t="s">
        <v>30</v>
      </c>
      <c r="I288" s="5"/>
      <c r="J288" s="6"/>
      <c r="K288" s="6"/>
      <c r="L288" s="7" t="s">
        <v>23</v>
      </c>
      <c r="M288" s="1"/>
      <c r="N288" s="2"/>
      <c r="O288" s="1"/>
      <c r="P288" s="9">
        <v>1300.0</v>
      </c>
      <c r="Q288" s="9">
        <v>750.0</v>
      </c>
      <c r="R288" s="10"/>
      <c r="S288" s="4"/>
    </row>
    <row r="289" ht="9.0" customHeight="1">
      <c r="A289" s="4" t="s">
        <v>19</v>
      </c>
      <c r="B289" s="4" t="s">
        <v>323</v>
      </c>
      <c r="C289" s="4" t="s">
        <v>323</v>
      </c>
      <c r="D289" s="1"/>
      <c r="E289" s="4" t="s">
        <v>44</v>
      </c>
      <c r="F289" s="1"/>
      <c r="G289" s="4" t="s">
        <v>437</v>
      </c>
      <c r="H289" s="5" t="s">
        <v>438</v>
      </c>
      <c r="I289" s="5"/>
      <c r="J289" s="6"/>
      <c r="K289" s="6"/>
      <c r="L289" s="7"/>
      <c r="M289" s="1"/>
      <c r="N289" s="2"/>
      <c r="O289" s="1"/>
      <c r="P289" s="9">
        <v>1300.0</v>
      </c>
      <c r="Q289" s="9">
        <v>750.0</v>
      </c>
      <c r="R289" s="10"/>
      <c r="S289" s="11">
        <v>45281.0</v>
      </c>
    </row>
    <row r="290" ht="9.0" customHeight="1">
      <c r="A290" s="4" t="s">
        <v>19</v>
      </c>
      <c r="B290" s="4" t="s">
        <v>323</v>
      </c>
      <c r="C290" s="4" t="s">
        <v>439</v>
      </c>
      <c r="D290" s="1"/>
      <c r="E290" s="4" t="s">
        <v>44</v>
      </c>
      <c r="F290" s="1"/>
      <c r="G290" s="4" t="s">
        <v>440</v>
      </c>
      <c r="H290" s="5"/>
      <c r="I290" s="5"/>
      <c r="J290" s="6"/>
      <c r="K290" s="6"/>
      <c r="L290" s="7"/>
      <c r="M290" s="1"/>
      <c r="N290" s="2"/>
      <c r="O290" s="1"/>
      <c r="P290" s="9">
        <v>1000.0</v>
      </c>
      <c r="Q290" s="9">
        <v>600.0</v>
      </c>
      <c r="R290" s="10"/>
      <c r="S290" s="4"/>
    </row>
    <row r="291" ht="9.0" customHeight="1">
      <c r="A291" s="4" t="s">
        <v>19</v>
      </c>
      <c r="B291" s="4" t="s">
        <v>323</v>
      </c>
      <c r="C291" s="4" t="s">
        <v>323</v>
      </c>
      <c r="D291" s="1"/>
      <c r="E291" s="4" t="s">
        <v>44</v>
      </c>
      <c r="F291" s="1"/>
      <c r="G291" s="4" t="s">
        <v>441</v>
      </c>
      <c r="H291" s="5" t="s">
        <v>442</v>
      </c>
      <c r="I291" s="5"/>
      <c r="J291" s="6"/>
      <c r="K291" s="6"/>
      <c r="L291" s="7"/>
      <c r="M291" s="1"/>
      <c r="N291" s="2"/>
      <c r="O291" s="1"/>
      <c r="P291" s="9">
        <v>1300.0</v>
      </c>
      <c r="Q291" s="9">
        <v>750.0</v>
      </c>
      <c r="R291" s="10"/>
      <c r="S291" s="11">
        <v>45728.0</v>
      </c>
    </row>
    <row r="292" ht="9.0" customHeight="1">
      <c r="A292" s="4" t="s">
        <v>19</v>
      </c>
      <c r="B292" s="4" t="s">
        <v>323</v>
      </c>
      <c r="C292" s="4" t="s">
        <v>323</v>
      </c>
      <c r="D292" s="1"/>
      <c r="E292" s="4" t="s">
        <v>44</v>
      </c>
      <c r="F292" s="1"/>
      <c r="G292" s="4" t="s">
        <v>443</v>
      </c>
      <c r="H292" s="5"/>
      <c r="I292" s="5"/>
      <c r="J292" s="6"/>
      <c r="K292" s="6"/>
      <c r="L292" s="7"/>
      <c r="M292" s="1"/>
      <c r="N292" s="2"/>
      <c r="O292" s="1"/>
      <c r="P292" s="9">
        <v>1200.0</v>
      </c>
      <c r="Q292" s="9">
        <v>700.0</v>
      </c>
      <c r="R292" s="10"/>
      <c r="S292" s="4"/>
    </row>
    <row r="293" ht="9.0" customHeight="1">
      <c r="A293" s="4" t="s">
        <v>19</v>
      </c>
      <c r="B293" s="4" t="s">
        <v>323</v>
      </c>
      <c r="C293" s="4" t="s">
        <v>323</v>
      </c>
      <c r="D293" s="1"/>
      <c r="E293" s="4" t="s">
        <v>44</v>
      </c>
      <c r="F293" s="1"/>
      <c r="G293" s="4" t="s">
        <v>444</v>
      </c>
      <c r="H293" s="5"/>
      <c r="I293" s="5"/>
      <c r="J293" s="6"/>
      <c r="K293" s="6"/>
      <c r="L293" s="7"/>
      <c r="M293" s="1"/>
      <c r="N293" s="2"/>
      <c r="O293" s="1"/>
      <c r="P293" s="9">
        <v>1500.0</v>
      </c>
      <c r="Q293" s="9">
        <v>850.0</v>
      </c>
      <c r="R293" s="10"/>
      <c r="S293" s="11">
        <v>45478.0</v>
      </c>
    </row>
    <row r="294" ht="9.0" customHeight="1">
      <c r="A294" s="4" t="s">
        <v>19</v>
      </c>
      <c r="B294" s="4" t="s">
        <v>323</v>
      </c>
      <c r="C294" s="4" t="s">
        <v>323</v>
      </c>
      <c r="D294" s="1"/>
      <c r="E294" s="4" t="s">
        <v>44</v>
      </c>
      <c r="F294" s="1"/>
      <c r="G294" s="4" t="s">
        <v>445</v>
      </c>
      <c r="H294" s="5"/>
      <c r="I294" s="5"/>
      <c r="J294" s="6"/>
      <c r="K294" s="6"/>
      <c r="L294" s="7"/>
      <c r="M294" s="1"/>
      <c r="N294" s="2"/>
      <c r="O294" s="1"/>
      <c r="P294" s="9">
        <v>1500.0</v>
      </c>
      <c r="Q294" s="9">
        <v>850.0</v>
      </c>
      <c r="R294" s="10"/>
      <c r="S294" s="11">
        <v>45477.0</v>
      </c>
    </row>
    <row r="295" ht="9.0" customHeight="1">
      <c r="A295" s="4" t="s">
        <v>19</v>
      </c>
      <c r="B295" s="4" t="s">
        <v>323</v>
      </c>
      <c r="C295" s="4" t="s">
        <v>323</v>
      </c>
      <c r="D295" s="1"/>
      <c r="E295" s="4" t="s">
        <v>44</v>
      </c>
      <c r="F295" s="1"/>
      <c r="G295" s="4" t="s">
        <v>446</v>
      </c>
      <c r="H295" s="5" t="s">
        <v>372</v>
      </c>
      <c r="I295" s="5"/>
      <c r="J295" s="6"/>
      <c r="K295" s="6"/>
      <c r="L295" s="7"/>
      <c r="M295" s="1"/>
      <c r="N295" s="2"/>
      <c r="O295" s="1"/>
      <c r="P295" s="9">
        <v>1800.0</v>
      </c>
      <c r="Q295" s="9">
        <v>1000.0</v>
      </c>
      <c r="R295" s="10"/>
      <c r="S295" s="11">
        <v>45738.0</v>
      </c>
    </row>
    <row r="296" ht="9.0" customHeight="1">
      <c r="A296" s="4" t="s">
        <v>19</v>
      </c>
      <c r="B296" s="4" t="s">
        <v>323</v>
      </c>
      <c r="C296" s="4" t="s">
        <v>323</v>
      </c>
      <c r="D296" s="1"/>
      <c r="E296" s="4" t="s">
        <v>44</v>
      </c>
      <c r="F296" s="1"/>
      <c r="G296" s="4" t="s">
        <v>447</v>
      </c>
      <c r="H296" s="5" t="s">
        <v>448</v>
      </c>
      <c r="I296" s="5"/>
      <c r="J296" s="6"/>
      <c r="K296" s="6"/>
      <c r="L296" s="7"/>
      <c r="M296" s="1"/>
      <c r="N296" s="2"/>
      <c r="O296" s="1"/>
      <c r="P296" s="9">
        <v>1100.0</v>
      </c>
      <c r="Q296" s="9">
        <v>650.0</v>
      </c>
      <c r="R296" s="10"/>
      <c r="S296" s="4"/>
    </row>
    <row r="297" ht="9.0" customHeight="1">
      <c r="A297" s="4" t="s">
        <v>19</v>
      </c>
      <c r="B297" s="4" t="s">
        <v>323</v>
      </c>
      <c r="C297" s="4" t="s">
        <v>323</v>
      </c>
      <c r="D297" s="1"/>
      <c r="E297" s="4" t="s">
        <v>44</v>
      </c>
      <c r="F297" s="1"/>
      <c r="G297" s="4" t="s">
        <v>449</v>
      </c>
      <c r="H297" s="12" t="s">
        <v>450</v>
      </c>
      <c r="I297" s="12"/>
      <c r="J297" s="6"/>
      <c r="K297" s="6"/>
      <c r="L297" s="6"/>
      <c r="M297" s="1"/>
      <c r="N297" s="2"/>
      <c r="O297" s="1"/>
      <c r="P297" s="9">
        <v>1300.0</v>
      </c>
      <c r="Q297" s="9">
        <v>750.0</v>
      </c>
      <c r="R297" s="10"/>
      <c r="S297" s="11">
        <v>45471.0</v>
      </c>
    </row>
    <row r="298" ht="9.0" customHeight="1">
      <c r="A298" s="4" t="s">
        <v>19</v>
      </c>
      <c r="B298" s="4" t="s">
        <v>323</v>
      </c>
      <c r="C298" s="4" t="s">
        <v>323</v>
      </c>
      <c r="D298" s="1"/>
      <c r="E298" s="4" t="s">
        <v>44</v>
      </c>
      <c r="F298" s="1"/>
      <c r="G298" s="4" t="s">
        <v>451</v>
      </c>
      <c r="H298" s="12" t="s">
        <v>452</v>
      </c>
      <c r="I298" s="12"/>
      <c r="J298" s="6"/>
      <c r="K298" s="6"/>
      <c r="L298" s="6"/>
      <c r="M298" s="1"/>
      <c r="N298" s="2"/>
      <c r="O298" s="1"/>
      <c r="P298" s="9">
        <v>2000.0</v>
      </c>
      <c r="Q298" s="9">
        <v>1100.0</v>
      </c>
      <c r="R298" s="10"/>
      <c r="S298" s="11">
        <v>45003.0</v>
      </c>
    </row>
    <row r="299" ht="9.0" customHeight="1">
      <c r="A299" s="4" t="s">
        <v>19</v>
      </c>
      <c r="B299" s="4" t="s">
        <v>323</v>
      </c>
      <c r="C299" s="4" t="s">
        <v>323</v>
      </c>
      <c r="D299" s="1"/>
      <c r="E299" s="4" t="s">
        <v>44</v>
      </c>
      <c r="F299" s="1"/>
      <c r="G299" s="4" t="s">
        <v>453</v>
      </c>
      <c r="H299" s="12"/>
      <c r="I299" s="12"/>
      <c r="J299" s="6"/>
      <c r="K299" s="6"/>
      <c r="L299" s="6" t="s">
        <v>23</v>
      </c>
      <c r="M299" s="1"/>
      <c r="N299" s="8">
        <v>0.46</v>
      </c>
      <c r="O299" s="1"/>
      <c r="P299" s="9">
        <v>1100.0</v>
      </c>
      <c r="Q299" s="9">
        <v>650.0</v>
      </c>
      <c r="R299" s="10"/>
      <c r="S299" s="11">
        <v>45908.0</v>
      </c>
    </row>
    <row r="300" ht="9.0" customHeight="1">
      <c r="A300" s="4" t="s">
        <v>19</v>
      </c>
      <c r="B300" s="5" t="s">
        <v>454</v>
      </c>
      <c r="C300" s="5" t="s">
        <v>324</v>
      </c>
      <c r="D300" s="1" t="s">
        <v>455</v>
      </c>
      <c r="E300" s="4" t="s">
        <v>92</v>
      </c>
      <c r="F300" s="1" t="s">
        <v>456</v>
      </c>
      <c r="G300" s="4" t="s">
        <v>457</v>
      </c>
      <c r="H300" s="12" t="s">
        <v>458</v>
      </c>
      <c r="I300" s="12"/>
      <c r="J300" s="6"/>
      <c r="K300" s="6"/>
      <c r="L300" s="6"/>
      <c r="M300" s="1"/>
      <c r="N300" s="2"/>
      <c r="O300" s="1"/>
      <c r="P300" s="9">
        <v>3000.0</v>
      </c>
      <c r="Q300" s="9">
        <v>1600.0</v>
      </c>
      <c r="R300" s="10"/>
      <c r="S300" s="11">
        <v>44982.0</v>
      </c>
    </row>
    <row r="301" ht="9.0" customHeight="1">
      <c r="A301" s="4" t="s">
        <v>19</v>
      </c>
      <c r="B301" s="5" t="s">
        <v>454</v>
      </c>
      <c r="C301" s="5" t="s">
        <v>454</v>
      </c>
      <c r="D301" s="1" t="s">
        <v>455</v>
      </c>
      <c r="E301" s="4" t="s">
        <v>92</v>
      </c>
      <c r="F301" s="1" t="s">
        <v>459</v>
      </c>
      <c r="G301" s="4" t="s">
        <v>460</v>
      </c>
      <c r="H301" s="5" t="s">
        <v>461</v>
      </c>
      <c r="I301" s="5"/>
      <c r="J301" s="6"/>
      <c r="K301" s="6"/>
      <c r="L301" s="7"/>
      <c r="M301" s="1"/>
      <c r="N301" s="2"/>
      <c r="O301" s="1"/>
      <c r="P301" s="9">
        <v>3000.0</v>
      </c>
      <c r="Q301" s="9">
        <v>1600.0</v>
      </c>
      <c r="R301" s="10"/>
      <c r="S301" s="4"/>
    </row>
    <row r="302" ht="9.0" customHeight="1">
      <c r="A302" s="4" t="s">
        <v>19</v>
      </c>
      <c r="B302" s="5" t="s">
        <v>454</v>
      </c>
      <c r="C302" s="5" t="s">
        <v>454</v>
      </c>
      <c r="D302" s="1" t="s">
        <v>455</v>
      </c>
      <c r="E302" s="4" t="s">
        <v>92</v>
      </c>
      <c r="F302" s="1" t="s">
        <v>462</v>
      </c>
      <c r="G302" s="4" t="s">
        <v>463</v>
      </c>
      <c r="H302" s="5"/>
      <c r="I302" s="5"/>
      <c r="J302" s="6"/>
      <c r="K302" s="6"/>
      <c r="L302" s="7"/>
      <c r="M302" s="1"/>
      <c r="N302" s="2"/>
      <c r="O302" s="1"/>
      <c r="P302" s="9">
        <v>2200.0</v>
      </c>
      <c r="Q302" s="9">
        <v>1200.0</v>
      </c>
      <c r="R302" s="10"/>
      <c r="S302" s="11">
        <v>45171.0</v>
      </c>
    </row>
    <row r="303" ht="9.0" customHeight="1">
      <c r="A303" s="4" t="s">
        <v>19</v>
      </c>
      <c r="B303" s="5" t="s">
        <v>454</v>
      </c>
      <c r="C303" s="5" t="s">
        <v>454</v>
      </c>
      <c r="D303" s="1" t="s">
        <v>455</v>
      </c>
      <c r="E303" s="4" t="s">
        <v>92</v>
      </c>
      <c r="F303" s="1" t="s">
        <v>464</v>
      </c>
      <c r="G303" s="4" t="s">
        <v>465</v>
      </c>
      <c r="H303" s="12"/>
      <c r="I303" s="12"/>
      <c r="J303" s="6"/>
      <c r="K303" s="6"/>
      <c r="L303" s="6"/>
      <c r="M303" s="1"/>
      <c r="N303" s="2"/>
      <c r="O303" s="1"/>
      <c r="P303" s="9">
        <v>2800.0</v>
      </c>
      <c r="Q303" s="9">
        <v>1500.0</v>
      </c>
      <c r="R303" s="10"/>
      <c r="S303" s="11">
        <v>45018.0</v>
      </c>
    </row>
    <row r="304" ht="9.0" customHeight="1">
      <c r="A304" s="4" t="s">
        <v>19</v>
      </c>
      <c r="B304" s="5" t="s">
        <v>454</v>
      </c>
      <c r="C304" s="5" t="s">
        <v>454</v>
      </c>
      <c r="D304" s="1" t="s">
        <v>455</v>
      </c>
      <c r="E304" s="4" t="s">
        <v>92</v>
      </c>
      <c r="F304" s="1" t="s">
        <v>466</v>
      </c>
      <c r="G304" s="4" t="s">
        <v>467</v>
      </c>
      <c r="H304" s="12" t="s">
        <v>468</v>
      </c>
      <c r="I304" s="12"/>
      <c r="J304" s="6"/>
      <c r="K304" s="6"/>
      <c r="L304" s="6"/>
      <c r="M304" s="1"/>
      <c r="N304" s="2"/>
      <c r="O304" s="1"/>
      <c r="P304" s="9">
        <v>3000.0</v>
      </c>
      <c r="Q304" s="9">
        <v>1600.0</v>
      </c>
      <c r="R304" s="10"/>
      <c r="S304" s="4"/>
    </row>
    <row r="305" ht="9.0" customHeight="1">
      <c r="A305" s="4" t="s">
        <v>19</v>
      </c>
      <c r="B305" s="5" t="s">
        <v>454</v>
      </c>
      <c r="C305" s="5" t="s">
        <v>454</v>
      </c>
      <c r="D305" s="1" t="s">
        <v>455</v>
      </c>
      <c r="E305" s="4" t="s">
        <v>22</v>
      </c>
      <c r="F305" s="1"/>
      <c r="G305" s="4" t="s">
        <v>469</v>
      </c>
      <c r="H305" s="5"/>
      <c r="I305" s="5"/>
      <c r="J305" s="6"/>
      <c r="K305" s="6"/>
      <c r="L305" s="7"/>
      <c r="M305" s="1"/>
      <c r="N305" s="2"/>
      <c r="O305" s="1"/>
      <c r="P305" s="9">
        <v>2400.0</v>
      </c>
      <c r="Q305" s="9">
        <v>1300.0</v>
      </c>
      <c r="R305" s="10"/>
      <c r="S305" s="11">
        <v>44917.0</v>
      </c>
    </row>
    <row r="306" ht="9.0" customHeight="1">
      <c r="A306" s="4" t="s">
        <v>19</v>
      </c>
      <c r="B306" s="5" t="s">
        <v>454</v>
      </c>
      <c r="C306" s="5" t="s">
        <v>454</v>
      </c>
      <c r="D306" s="1" t="s">
        <v>455</v>
      </c>
      <c r="E306" s="4" t="s">
        <v>22</v>
      </c>
      <c r="F306" s="1"/>
      <c r="G306" s="4" t="s">
        <v>470</v>
      </c>
      <c r="H306" s="5"/>
      <c r="I306" s="5"/>
      <c r="J306" s="6"/>
      <c r="K306" s="6"/>
      <c r="L306" s="7" t="s">
        <v>23</v>
      </c>
      <c r="M306" s="1"/>
      <c r="N306" s="2"/>
      <c r="O306" s="1"/>
      <c r="P306" s="9">
        <v>1800.0</v>
      </c>
      <c r="Q306" s="9">
        <v>1000.0</v>
      </c>
      <c r="R306" s="10"/>
      <c r="S306" s="11">
        <v>45817.0</v>
      </c>
    </row>
    <row r="307" ht="9.0" customHeight="1">
      <c r="A307" s="4" t="s">
        <v>19</v>
      </c>
      <c r="B307" s="5" t="s">
        <v>454</v>
      </c>
      <c r="C307" s="5" t="s">
        <v>454</v>
      </c>
      <c r="D307" s="1" t="s">
        <v>455</v>
      </c>
      <c r="E307" s="4" t="s">
        <v>22</v>
      </c>
      <c r="F307" s="1"/>
      <c r="G307" s="4" t="s">
        <v>471</v>
      </c>
      <c r="H307" s="5"/>
      <c r="I307" s="5"/>
      <c r="J307" s="6"/>
      <c r="K307" s="6"/>
      <c r="L307" s="7"/>
      <c r="M307" s="1"/>
      <c r="N307" s="2"/>
      <c r="O307" s="1"/>
      <c r="P307" s="9">
        <v>2400.0</v>
      </c>
      <c r="Q307" s="9">
        <v>1300.0</v>
      </c>
      <c r="R307" s="10"/>
      <c r="S307" s="11"/>
    </row>
    <row r="308" ht="9.0" customHeight="1">
      <c r="A308" s="4" t="s">
        <v>19</v>
      </c>
      <c r="B308" s="5" t="s">
        <v>454</v>
      </c>
      <c r="C308" s="5" t="s">
        <v>454</v>
      </c>
      <c r="D308" s="1" t="s">
        <v>455</v>
      </c>
      <c r="E308" s="4" t="s">
        <v>22</v>
      </c>
      <c r="F308" s="1"/>
      <c r="G308" s="4" t="s">
        <v>472</v>
      </c>
      <c r="H308" s="5"/>
      <c r="I308" s="5"/>
      <c r="J308" s="6"/>
      <c r="K308" s="6"/>
      <c r="L308" s="7"/>
      <c r="M308" s="1"/>
      <c r="N308" s="2"/>
      <c r="O308" s="1"/>
      <c r="P308" s="9">
        <v>2200.0</v>
      </c>
      <c r="Q308" s="9">
        <v>1200.0</v>
      </c>
      <c r="R308" s="10"/>
      <c r="S308" s="11">
        <v>44916.0</v>
      </c>
    </row>
    <row r="309" ht="9.0" customHeight="1">
      <c r="A309" s="4" t="s">
        <v>19</v>
      </c>
      <c r="B309" s="5" t="s">
        <v>454</v>
      </c>
      <c r="C309" s="5" t="s">
        <v>454</v>
      </c>
      <c r="D309" s="1" t="s">
        <v>455</v>
      </c>
      <c r="E309" s="4" t="s">
        <v>22</v>
      </c>
      <c r="F309" s="1"/>
      <c r="G309" s="4" t="s">
        <v>473</v>
      </c>
      <c r="H309" s="5"/>
      <c r="I309" s="5"/>
      <c r="J309" s="6"/>
      <c r="K309" s="6"/>
      <c r="L309" s="7"/>
      <c r="M309" s="1"/>
      <c r="N309" s="2"/>
      <c r="O309" s="1"/>
      <c r="P309" s="9">
        <v>2200.0</v>
      </c>
      <c r="Q309" s="9">
        <v>1200.0</v>
      </c>
      <c r="R309" s="10"/>
      <c r="S309" s="11">
        <v>44909.0</v>
      </c>
    </row>
    <row r="310" ht="9.0" customHeight="1">
      <c r="A310" s="4" t="s">
        <v>19</v>
      </c>
      <c r="B310" s="5" t="s">
        <v>454</v>
      </c>
      <c r="C310" s="5" t="s">
        <v>454</v>
      </c>
      <c r="D310" s="1" t="s">
        <v>455</v>
      </c>
      <c r="E310" s="4" t="s">
        <v>22</v>
      </c>
      <c r="F310" s="1"/>
      <c r="G310" s="4" t="s">
        <v>474</v>
      </c>
      <c r="H310" s="5"/>
      <c r="I310" s="5"/>
      <c r="J310" s="6"/>
      <c r="K310" s="6"/>
      <c r="L310" s="7"/>
      <c r="M310" s="1"/>
      <c r="N310" s="2"/>
      <c r="O310" s="1"/>
      <c r="P310" s="9">
        <v>2200.0</v>
      </c>
      <c r="Q310" s="9">
        <v>1200.0</v>
      </c>
      <c r="R310" s="10"/>
      <c r="S310" s="11">
        <v>44915.0</v>
      </c>
    </row>
    <row r="311" ht="9.0" customHeight="1">
      <c r="A311" s="4" t="s">
        <v>19</v>
      </c>
      <c r="B311" s="5" t="s">
        <v>454</v>
      </c>
      <c r="C311" s="5" t="s">
        <v>454</v>
      </c>
      <c r="D311" s="1" t="s">
        <v>455</v>
      </c>
      <c r="E311" s="4" t="s">
        <v>22</v>
      </c>
      <c r="F311" s="1"/>
      <c r="G311" s="4" t="s">
        <v>475</v>
      </c>
      <c r="H311" s="5"/>
      <c r="I311" s="5"/>
      <c r="J311" s="6"/>
      <c r="K311" s="6"/>
      <c r="L311" s="7"/>
      <c r="M311" s="1"/>
      <c r="N311" s="2"/>
      <c r="O311" s="1"/>
      <c r="P311" s="9">
        <v>2200.0</v>
      </c>
      <c r="Q311" s="9">
        <v>1200.0</v>
      </c>
      <c r="R311" s="10"/>
      <c r="S311" s="11">
        <v>44998.0</v>
      </c>
    </row>
    <row r="312" ht="9.0" customHeight="1">
      <c r="A312" s="4" t="s">
        <v>19</v>
      </c>
      <c r="B312" s="5" t="s">
        <v>454</v>
      </c>
      <c r="C312" s="5" t="s">
        <v>454</v>
      </c>
      <c r="D312" s="1" t="s">
        <v>455</v>
      </c>
      <c r="E312" s="4" t="s">
        <v>22</v>
      </c>
      <c r="F312" s="1"/>
      <c r="G312" s="4" t="s">
        <v>476</v>
      </c>
      <c r="H312" s="5"/>
      <c r="I312" s="5"/>
      <c r="J312" s="6"/>
      <c r="K312" s="6"/>
      <c r="L312" s="7"/>
      <c r="M312" s="1"/>
      <c r="N312" s="2"/>
      <c r="O312" s="1"/>
      <c r="P312" s="9">
        <v>2800.0</v>
      </c>
      <c r="Q312" s="9">
        <v>1500.0</v>
      </c>
      <c r="R312" s="10"/>
      <c r="S312" s="11">
        <v>44819.0</v>
      </c>
    </row>
    <row r="313" ht="9.0" customHeight="1">
      <c r="A313" s="4" t="s">
        <v>19</v>
      </c>
      <c r="B313" s="5" t="s">
        <v>454</v>
      </c>
      <c r="C313" s="5" t="s">
        <v>454</v>
      </c>
      <c r="D313" s="1" t="s">
        <v>455</v>
      </c>
      <c r="E313" s="4" t="s">
        <v>22</v>
      </c>
      <c r="F313" s="1"/>
      <c r="G313" s="4" t="s">
        <v>477</v>
      </c>
      <c r="H313" s="5"/>
      <c r="I313" s="5"/>
      <c r="J313" s="6"/>
      <c r="K313" s="6"/>
      <c r="L313" s="7"/>
      <c r="M313" s="1"/>
      <c r="N313" s="2"/>
      <c r="O313" s="1"/>
      <c r="P313" s="9">
        <v>2200.0</v>
      </c>
      <c r="Q313" s="9">
        <v>1200.0</v>
      </c>
      <c r="R313" s="10"/>
      <c r="S313" s="11">
        <v>44798.0</v>
      </c>
    </row>
    <row r="314" ht="9.0" customHeight="1">
      <c r="A314" s="4" t="s">
        <v>19</v>
      </c>
      <c r="B314" s="5" t="s">
        <v>454</v>
      </c>
      <c r="C314" s="5" t="s">
        <v>454</v>
      </c>
      <c r="D314" s="1" t="s">
        <v>455</v>
      </c>
      <c r="E314" s="4" t="s">
        <v>22</v>
      </c>
      <c r="F314" s="1"/>
      <c r="G314" s="4" t="s">
        <v>478</v>
      </c>
      <c r="H314" s="5"/>
      <c r="I314" s="5"/>
      <c r="J314" s="6"/>
      <c r="K314" s="6"/>
      <c r="L314" s="7"/>
      <c r="M314" s="1"/>
      <c r="N314" s="2"/>
      <c r="O314" s="1"/>
      <c r="P314" s="9">
        <v>2800.0</v>
      </c>
      <c r="Q314" s="9">
        <v>1500.0</v>
      </c>
      <c r="R314" s="10"/>
      <c r="S314" s="11">
        <v>45091.0</v>
      </c>
    </row>
    <row r="315" ht="9.0" customHeight="1">
      <c r="A315" s="4" t="s">
        <v>19</v>
      </c>
      <c r="B315" s="5" t="s">
        <v>454</v>
      </c>
      <c r="C315" s="5" t="s">
        <v>454</v>
      </c>
      <c r="D315" s="1"/>
      <c r="E315" s="4" t="s">
        <v>44</v>
      </c>
      <c r="F315" s="1"/>
      <c r="G315" s="4" t="s">
        <v>479</v>
      </c>
      <c r="H315" s="5"/>
      <c r="I315" s="5"/>
      <c r="J315" s="6"/>
      <c r="K315" s="6"/>
      <c r="L315" s="7" t="s">
        <v>23</v>
      </c>
      <c r="M315" s="1"/>
      <c r="N315" s="2"/>
      <c r="O315" s="1"/>
      <c r="P315" s="9">
        <v>1100.0</v>
      </c>
      <c r="Q315" s="9">
        <v>650.0</v>
      </c>
      <c r="R315" s="10"/>
      <c r="S315" s="11">
        <v>45766.0</v>
      </c>
    </row>
    <row r="316" ht="9.0" customHeight="1">
      <c r="A316" s="4" t="s">
        <v>19</v>
      </c>
      <c r="B316" s="5" t="s">
        <v>480</v>
      </c>
      <c r="C316" s="5" t="s">
        <v>480</v>
      </c>
      <c r="D316" s="1" t="s">
        <v>481</v>
      </c>
      <c r="E316" s="4" t="s">
        <v>92</v>
      </c>
      <c r="F316" s="1" t="s">
        <v>482</v>
      </c>
      <c r="G316" s="4" t="s">
        <v>483</v>
      </c>
      <c r="H316" s="5" t="s">
        <v>484</v>
      </c>
      <c r="I316" s="5"/>
      <c r="J316" s="6"/>
      <c r="K316" s="6"/>
      <c r="L316" s="7"/>
      <c r="M316" s="1"/>
      <c r="N316" s="2"/>
      <c r="O316" s="1"/>
      <c r="P316" s="9">
        <v>3500.0</v>
      </c>
      <c r="Q316" s="9">
        <v>1900.0</v>
      </c>
      <c r="R316" s="10"/>
      <c r="S316" s="11">
        <v>45346.0</v>
      </c>
    </row>
    <row r="317" ht="9.0" customHeight="1">
      <c r="A317" s="4" t="s">
        <v>19</v>
      </c>
      <c r="B317" s="5" t="s">
        <v>480</v>
      </c>
      <c r="C317" s="5" t="s">
        <v>480</v>
      </c>
      <c r="D317" s="1" t="s">
        <v>481</v>
      </c>
      <c r="E317" s="4" t="s">
        <v>22</v>
      </c>
      <c r="F317" s="1"/>
      <c r="G317" s="4" t="s">
        <v>485</v>
      </c>
      <c r="H317" s="5"/>
      <c r="I317" s="5"/>
      <c r="J317" s="6"/>
      <c r="K317" s="6"/>
      <c r="L317" s="7"/>
      <c r="M317" s="1"/>
      <c r="N317" s="2"/>
      <c r="O317" s="1"/>
      <c r="P317" s="9">
        <v>2600.0</v>
      </c>
      <c r="Q317" s="9">
        <v>1400.0</v>
      </c>
      <c r="R317" s="10"/>
      <c r="S317" s="11">
        <v>45348.0</v>
      </c>
    </row>
    <row r="318" ht="9.0" customHeight="1">
      <c r="A318" s="4" t="s">
        <v>19</v>
      </c>
      <c r="B318" s="5" t="s">
        <v>480</v>
      </c>
      <c r="C318" s="5" t="s">
        <v>480</v>
      </c>
      <c r="D318" s="1" t="s">
        <v>481</v>
      </c>
      <c r="E318" s="4" t="s">
        <v>22</v>
      </c>
      <c r="F318" s="1"/>
      <c r="G318" s="4" t="s">
        <v>481</v>
      </c>
      <c r="H318" s="5"/>
      <c r="I318" s="5"/>
      <c r="J318" s="6"/>
      <c r="K318" s="6"/>
      <c r="L318" s="7" t="s">
        <v>23</v>
      </c>
      <c r="M318" s="1"/>
      <c r="N318" s="2"/>
      <c r="O318" s="1"/>
      <c r="P318" s="9">
        <v>1200.0</v>
      </c>
      <c r="Q318" s="9">
        <v>700.0</v>
      </c>
      <c r="R318" s="10"/>
      <c r="S318" s="11">
        <v>44985.0</v>
      </c>
    </row>
    <row r="319" ht="9.0" customHeight="1">
      <c r="A319" s="4" t="s">
        <v>19</v>
      </c>
      <c r="B319" s="5" t="s">
        <v>480</v>
      </c>
      <c r="C319" s="5" t="s">
        <v>480</v>
      </c>
      <c r="D319" s="1" t="s">
        <v>481</v>
      </c>
      <c r="E319" s="4" t="s">
        <v>22</v>
      </c>
      <c r="F319" s="1"/>
      <c r="G319" s="4" t="s">
        <v>486</v>
      </c>
      <c r="H319" s="5"/>
      <c r="I319" s="5"/>
      <c r="J319" s="6"/>
      <c r="K319" s="6"/>
      <c r="L319" s="7"/>
      <c r="M319" s="1"/>
      <c r="N319" s="2"/>
      <c r="O319" s="1"/>
      <c r="P319" s="9">
        <v>2400.0</v>
      </c>
      <c r="Q319" s="9">
        <v>1300.0</v>
      </c>
      <c r="R319" s="10"/>
      <c r="S319" s="11">
        <v>45347.0</v>
      </c>
    </row>
    <row r="320" ht="9.0" customHeight="1">
      <c r="A320" s="4" t="s">
        <v>19</v>
      </c>
      <c r="B320" s="5" t="s">
        <v>480</v>
      </c>
      <c r="C320" s="5" t="s">
        <v>480</v>
      </c>
      <c r="D320" s="1" t="s">
        <v>481</v>
      </c>
      <c r="E320" s="4" t="s">
        <v>22</v>
      </c>
      <c r="F320" s="1"/>
      <c r="G320" s="4" t="s">
        <v>487</v>
      </c>
      <c r="H320" s="5"/>
      <c r="I320" s="5"/>
      <c r="J320" s="6"/>
      <c r="K320" s="6"/>
      <c r="L320" s="7"/>
      <c r="M320" s="1"/>
      <c r="N320" s="8">
        <v>0.5</v>
      </c>
      <c r="O320" s="1"/>
      <c r="P320" s="9">
        <v>2600.0</v>
      </c>
      <c r="Q320" s="9">
        <v>1400.0</v>
      </c>
      <c r="R320" s="10"/>
      <c r="S320" s="11">
        <v>45920.0</v>
      </c>
    </row>
    <row r="321" ht="9.0" customHeight="1">
      <c r="A321" s="4" t="s">
        <v>19</v>
      </c>
      <c r="B321" s="5" t="s">
        <v>480</v>
      </c>
      <c r="C321" s="5" t="s">
        <v>480</v>
      </c>
      <c r="D321" s="1" t="s">
        <v>481</v>
      </c>
      <c r="E321" s="4" t="s">
        <v>22</v>
      </c>
      <c r="F321" s="1"/>
      <c r="G321" s="4" t="s">
        <v>488</v>
      </c>
      <c r="H321" s="5"/>
      <c r="I321" s="5" t="s">
        <v>488</v>
      </c>
      <c r="J321" s="6"/>
      <c r="K321" s="6"/>
      <c r="L321" s="7" t="s">
        <v>23</v>
      </c>
      <c r="M321" s="1"/>
      <c r="N321" s="2"/>
      <c r="O321" s="1"/>
      <c r="P321" s="9">
        <v>1200.0</v>
      </c>
      <c r="Q321" s="9">
        <v>700.0</v>
      </c>
      <c r="R321" s="10"/>
      <c r="S321" s="11">
        <v>44986.0</v>
      </c>
    </row>
    <row r="322" ht="9.0" customHeight="1">
      <c r="A322" s="4" t="s">
        <v>19</v>
      </c>
      <c r="B322" s="5" t="s">
        <v>480</v>
      </c>
      <c r="C322" s="5" t="s">
        <v>480</v>
      </c>
      <c r="D322" s="1" t="s">
        <v>481</v>
      </c>
      <c r="E322" s="4" t="s">
        <v>22</v>
      </c>
      <c r="F322" s="1"/>
      <c r="G322" s="4" t="s">
        <v>489</v>
      </c>
      <c r="H322" s="5"/>
      <c r="I322" s="5" t="s">
        <v>488</v>
      </c>
      <c r="J322" s="6"/>
      <c r="K322" s="6"/>
      <c r="L322" s="7"/>
      <c r="M322" s="1"/>
      <c r="N322" s="2"/>
      <c r="O322" s="1"/>
      <c r="P322" s="9">
        <v>2600.0</v>
      </c>
      <c r="Q322" s="9">
        <v>1400.0</v>
      </c>
      <c r="R322" s="10"/>
      <c r="S322" s="11">
        <v>45349.0</v>
      </c>
    </row>
    <row r="323" ht="9.0" customHeight="1">
      <c r="A323" s="4" t="s">
        <v>19</v>
      </c>
      <c r="B323" s="5" t="s">
        <v>480</v>
      </c>
      <c r="C323" s="5" t="s">
        <v>480</v>
      </c>
      <c r="D323" s="1" t="s">
        <v>481</v>
      </c>
      <c r="E323" s="4" t="s">
        <v>44</v>
      </c>
      <c r="F323" s="1"/>
      <c r="G323" s="4" t="s">
        <v>490</v>
      </c>
      <c r="H323" s="5"/>
      <c r="I323" s="5"/>
      <c r="J323" s="6"/>
      <c r="K323" s="6"/>
      <c r="L323" s="7" t="s">
        <v>23</v>
      </c>
      <c r="M323" s="1"/>
      <c r="N323" s="2"/>
      <c r="O323" s="1"/>
      <c r="P323" s="9">
        <v>1000.0</v>
      </c>
      <c r="Q323" s="9">
        <v>600.0</v>
      </c>
      <c r="R323" s="10"/>
      <c r="S323" s="11"/>
    </row>
    <row r="324" ht="9.0" customHeight="1">
      <c r="A324" s="4" t="s">
        <v>19</v>
      </c>
      <c r="B324" s="4" t="s">
        <v>491</v>
      </c>
      <c r="C324" s="4" t="s">
        <v>491</v>
      </c>
      <c r="D324" s="1"/>
      <c r="E324" s="4" t="s">
        <v>44</v>
      </c>
      <c r="F324" s="1"/>
      <c r="G324" s="4" t="s">
        <v>492</v>
      </c>
      <c r="H324" s="5"/>
      <c r="I324" s="5"/>
      <c r="J324" s="6"/>
      <c r="K324" s="6"/>
      <c r="L324" s="7"/>
      <c r="M324" s="1"/>
      <c r="N324" s="2"/>
      <c r="O324" s="1"/>
      <c r="P324" s="9">
        <v>1000.0</v>
      </c>
      <c r="Q324" s="9">
        <v>600.0</v>
      </c>
      <c r="R324" s="10"/>
      <c r="S324" s="4"/>
    </row>
    <row r="325" ht="9.0" customHeight="1">
      <c r="A325" s="4" t="s">
        <v>19</v>
      </c>
      <c r="B325" s="4" t="s">
        <v>491</v>
      </c>
      <c r="C325" s="4" t="s">
        <v>491</v>
      </c>
      <c r="D325" s="1"/>
      <c r="E325" s="4" t="s">
        <v>44</v>
      </c>
      <c r="F325" s="1"/>
      <c r="G325" s="4" t="s">
        <v>493</v>
      </c>
      <c r="H325" s="5"/>
      <c r="I325" s="5"/>
      <c r="J325" s="6"/>
      <c r="K325" s="6"/>
      <c r="L325" s="7"/>
      <c r="M325" s="1"/>
      <c r="N325" s="8">
        <v>0.4</v>
      </c>
      <c r="O325" s="1"/>
      <c r="P325" s="9">
        <v>1000.0</v>
      </c>
      <c r="Q325" s="9">
        <v>600.0</v>
      </c>
      <c r="R325" s="10"/>
      <c r="S325" s="11">
        <v>45880.0</v>
      </c>
    </row>
    <row r="326" ht="9.0" customHeight="1">
      <c r="A326" s="4" t="s">
        <v>19</v>
      </c>
      <c r="B326" s="4" t="s">
        <v>491</v>
      </c>
      <c r="C326" s="4" t="s">
        <v>491</v>
      </c>
      <c r="D326" s="1"/>
      <c r="E326" s="4" t="s">
        <v>44</v>
      </c>
      <c r="F326" s="1"/>
      <c r="G326" s="4" t="s">
        <v>494</v>
      </c>
      <c r="H326" s="5"/>
      <c r="I326" s="5"/>
      <c r="J326" s="6"/>
      <c r="K326" s="6"/>
      <c r="L326" s="7"/>
      <c r="M326" s="1"/>
      <c r="N326" s="2"/>
      <c r="O326" s="1"/>
      <c r="P326" s="9">
        <v>1000.0</v>
      </c>
      <c r="Q326" s="9">
        <v>600.0</v>
      </c>
      <c r="R326" s="10"/>
      <c r="S326" s="4"/>
    </row>
    <row r="327" ht="9.0" customHeight="1">
      <c r="A327" s="4" t="s">
        <v>19</v>
      </c>
      <c r="B327" s="4" t="s">
        <v>495</v>
      </c>
      <c r="C327" s="4" t="s">
        <v>495</v>
      </c>
      <c r="D327" s="1" t="s">
        <v>496</v>
      </c>
      <c r="E327" s="4" t="s">
        <v>22</v>
      </c>
      <c r="F327" s="1"/>
      <c r="G327" s="4" t="s">
        <v>497</v>
      </c>
      <c r="H327" s="5"/>
      <c r="I327" s="5"/>
      <c r="J327" s="6"/>
      <c r="K327" s="6"/>
      <c r="L327" s="7" t="s">
        <v>23</v>
      </c>
      <c r="M327" s="1"/>
      <c r="N327" s="2"/>
      <c r="O327" s="1"/>
      <c r="P327" s="9">
        <v>2200.0</v>
      </c>
      <c r="Q327" s="9">
        <v>1200.0</v>
      </c>
      <c r="R327" s="10"/>
      <c r="S327" s="11">
        <v>45511.0</v>
      </c>
    </row>
    <row r="328" ht="9.0" customHeight="1">
      <c r="A328" s="4" t="s">
        <v>19</v>
      </c>
      <c r="B328" s="4" t="s">
        <v>495</v>
      </c>
      <c r="C328" s="4" t="s">
        <v>495</v>
      </c>
      <c r="D328" s="1" t="s">
        <v>496</v>
      </c>
      <c r="E328" s="4" t="s">
        <v>22</v>
      </c>
      <c r="F328" s="1"/>
      <c r="G328" s="4" t="s">
        <v>498</v>
      </c>
      <c r="H328" s="5"/>
      <c r="I328" s="5"/>
      <c r="J328" s="6"/>
      <c r="K328" s="6"/>
      <c r="L328" s="7"/>
      <c r="M328" s="1"/>
      <c r="N328" s="2"/>
      <c r="O328" s="1"/>
      <c r="P328" s="9">
        <v>2800.0</v>
      </c>
      <c r="Q328" s="9">
        <v>1500.0</v>
      </c>
      <c r="R328" s="10"/>
      <c r="S328" s="4"/>
    </row>
    <row r="329" ht="9.0" customHeight="1">
      <c r="A329" s="4" t="s">
        <v>19</v>
      </c>
      <c r="B329" s="4" t="s">
        <v>495</v>
      </c>
      <c r="C329" s="4" t="s">
        <v>495</v>
      </c>
      <c r="D329" s="1" t="s">
        <v>496</v>
      </c>
      <c r="E329" s="4" t="s">
        <v>22</v>
      </c>
      <c r="F329" s="1"/>
      <c r="G329" s="4" t="s">
        <v>499</v>
      </c>
      <c r="H329" s="5"/>
      <c r="I329" s="5"/>
      <c r="J329" s="6"/>
      <c r="K329" s="6"/>
      <c r="L329" s="7"/>
      <c r="M329" s="1"/>
      <c r="N329" s="2"/>
      <c r="O329" s="1"/>
      <c r="P329" s="9">
        <v>2800.0</v>
      </c>
      <c r="Q329" s="9">
        <v>1500.0</v>
      </c>
      <c r="R329" s="10"/>
      <c r="S329" s="4"/>
    </row>
    <row r="330" ht="9.0" customHeight="1">
      <c r="A330" s="4" t="s">
        <v>19</v>
      </c>
      <c r="B330" s="4" t="s">
        <v>500</v>
      </c>
      <c r="C330" s="4" t="s">
        <v>500</v>
      </c>
      <c r="D330" s="1" t="s">
        <v>501</v>
      </c>
      <c r="E330" s="4" t="s">
        <v>92</v>
      </c>
      <c r="F330" s="1" t="s">
        <v>502</v>
      </c>
      <c r="G330" s="4" t="s">
        <v>503</v>
      </c>
      <c r="H330" s="5" t="s">
        <v>504</v>
      </c>
      <c r="I330" s="5"/>
      <c r="J330" s="6"/>
      <c r="K330" s="6"/>
      <c r="L330" s="7"/>
      <c r="M330" s="1"/>
      <c r="N330" s="2"/>
      <c r="O330" s="1"/>
      <c r="P330" s="9"/>
      <c r="Q330" s="9"/>
      <c r="R330" s="10">
        <v>2800.0</v>
      </c>
      <c r="S330" s="11">
        <v>44979.0</v>
      </c>
    </row>
    <row r="331" ht="9.0" customHeight="1">
      <c r="A331" s="4" t="s">
        <v>19</v>
      </c>
      <c r="B331" s="4" t="s">
        <v>500</v>
      </c>
      <c r="C331" s="4" t="s">
        <v>500</v>
      </c>
      <c r="D331" s="1" t="s">
        <v>501</v>
      </c>
      <c r="E331" s="4" t="s">
        <v>22</v>
      </c>
      <c r="F331" s="1"/>
      <c r="G331" s="4" t="s">
        <v>505</v>
      </c>
      <c r="H331" s="5"/>
      <c r="I331" s="5"/>
      <c r="J331" s="6"/>
      <c r="K331" s="6"/>
      <c r="L331" s="7"/>
      <c r="M331" s="1"/>
      <c r="N331" s="2"/>
      <c r="O331" s="1"/>
      <c r="P331" s="9">
        <v>3000.0</v>
      </c>
      <c r="Q331" s="9">
        <v>1600.0</v>
      </c>
      <c r="R331" s="10"/>
      <c r="S331" s="4"/>
    </row>
    <row r="332" ht="9.0" customHeight="1">
      <c r="A332" s="4" t="s">
        <v>19</v>
      </c>
      <c r="B332" s="4" t="s">
        <v>500</v>
      </c>
      <c r="C332" s="4" t="s">
        <v>500</v>
      </c>
      <c r="D332" s="1" t="s">
        <v>501</v>
      </c>
      <c r="E332" s="4" t="s">
        <v>44</v>
      </c>
      <c r="F332" s="1"/>
      <c r="G332" s="4" t="s">
        <v>506</v>
      </c>
      <c r="H332" s="5" t="s">
        <v>507</v>
      </c>
      <c r="I332" s="5"/>
      <c r="J332" s="6"/>
      <c r="K332" s="6"/>
      <c r="L332" s="7"/>
      <c r="M332" s="1"/>
      <c r="N332" s="2"/>
      <c r="O332" s="1"/>
      <c r="P332" s="9">
        <v>2000.0</v>
      </c>
      <c r="Q332" s="9">
        <v>1100.0</v>
      </c>
      <c r="R332" s="10"/>
      <c r="S332" s="11">
        <v>44978.0</v>
      </c>
    </row>
    <row r="333" ht="9.0" customHeight="1">
      <c r="A333" s="4" t="s">
        <v>19</v>
      </c>
      <c r="B333" s="4" t="s">
        <v>500</v>
      </c>
      <c r="C333" s="4" t="s">
        <v>500</v>
      </c>
      <c r="D333" s="1" t="s">
        <v>501</v>
      </c>
      <c r="E333" s="4" t="s">
        <v>44</v>
      </c>
      <c r="F333" s="1"/>
      <c r="G333" s="4" t="s">
        <v>508</v>
      </c>
      <c r="H333" s="5" t="s">
        <v>507</v>
      </c>
      <c r="I333" s="5"/>
      <c r="J333" s="6"/>
      <c r="K333" s="6"/>
      <c r="L333" s="7"/>
      <c r="M333" s="1"/>
      <c r="N333" s="2"/>
      <c r="O333" s="1"/>
      <c r="P333" s="9">
        <v>2000.0</v>
      </c>
      <c r="Q333" s="9">
        <v>1100.0</v>
      </c>
      <c r="R333" s="10"/>
      <c r="S333" s="4"/>
    </row>
    <row r="334" ht="9.0" customHeight="1">
      <c r="A334" s="4" t="s">
        <v>19</v>
      </c>
      <c r="B334" s="4" t="s">
        <v>500</v>
      </c>
      <c r="C334" s="4" t="s">
        <v>500</v>
      </c>
      <c r="D334" s="1" t="s">
        <v>501</v>
      </c>
      <c r="E334" s="4" t="s">
        <v>44</v>
      </c>
      <c r="F334" s="1"/>
      <c r="G334" s="4" t="s">
        <v>509</v>
      </c>
      <c r="H334" s="5" t="s">
        <v>507</v>
      </c>
      <c r="I334" s="5"/>
      <c r="J334" s="6"/>
      <c r="K334" s="6"/>
      <c r="L334" s="7"/>
      <c r="M334" s="1"/>
      <c r="N334" s="2"/>
      <c r="O334" s="1"/>
      <c r="P334" s="9">
        <v>2200.0</v>
      </c>
      <c r="Q334" s="9">
        <v>1200.0</v>
      </c>
      <c r="R334" s="10"/>
      <c r="S334" s="11">
        <v>44810.0</v>
      </c>
    </row>
    <row r="335" ht="9.0" customHeight="1">
      <c r="A335" s="4" t="s">
        <v>19</v>
      </c>
      <c r="B335" s="4" t="s">
        <v>500</v>
      </c>
      <c r="C335" s="4" t="s">
        <v>500</v>
      </c>
      <c r="D335" s="1" t="s">
        <v>501</v>
      </c>
      <c r="E335" s="4" t="s">
        <v>22</v>
      </c>
      <c r="F335" s="1"/>
      <c r="G335" s="4" t="s">
        <v>510</v>
      </c>
      <c r="H335" s="5" t="s">
        <v>507</v>
      </c>
      <c r="I335" s="5"/>
      <c r="J335" s="6"/>
      <c r="K335" s="6"/>
      <c r="L335" s="7"/>
      <c r="M335" s="1"/>
      <c r="N335" s="2"/>
      <c r="O335" s="1"/>
      <c r="P335" s="9">
        <v>3000.0</v>
      </c>
      <c r="Q335" s="9">
        <v>1600.0</v>
      </c>
      <c r="R335" s="10"/>
      <c r="S335" s="4"/>
    </row>
    <row r="336" ht="9.0" customHeight="1">
      <c r="A336" s="4" t="s">
        <v>19</v>
      </c>
      <c r="B336" s="4" t="s">
        <v>500</v>
      </c>
      <c r="C336" s="4" t="s">
        <v>500</v>
      </c>
      <c r="D336" s="1" t="s">
        <v>501</v>
      </c>
      <c r="E336" s="4" t="s">
        <v>44</v>
      </c>
      <c r="F336" s="1"/>
      <c r="G336" s="4" t="s">
        <v>511</v>
      </c>
      <c r="H336" s="5" t="s">
        <v>507</v>
      </c>
      <c r="I336" s="5"/>
      <c r="J336" s="6"/>
      <c r="K336" s="6"/>
      <c r="L336" s="7"/>
      <c r="M336" s="1"/>
      <c r="N336" s="2"/>
      <c r="O336" s="1"/>
      <c r="P336" s="9">
        <v>2200.0</v>
      </c>
      <c r="Q336" s="9">
        <v>1200.0</v>
      </c>
      <c r="R336" s="10"/>
      <c r="S336" s="11">
        <v>44804.0</v>
      </c>
    </row>
    <row r="337" ht="9.0" customHeight="1">
      <c r="A337" s="4" t="s">
        <v>19</v>
      </c>
      <c r="B337" s="4" t="s">
        <v>500</v>
      </c>
      <c r="C337" s="4" t="s">
        <v>500</v>
      </c>
      <c r="D337" s="1" t="s">
        <v>501</v>
      </c>
      <c r="E337" s="4" t="s">
        <v>22</v>
      </c>
      <c r="F337" s="1"/>
      <c r="G337" s="4" t="s">
        <v>512</v>
      </c>
      <c r="H337" s="5" t="s">
        <v>507</v>
      </c>
      <c r="I337" s="5"/>
      <c r="J337" s="6"/>
      <c r="K337" s="6"/>
      <c r="L337" s="7"/>
      <c r="M337" s="1"/>
      <c r="N337" s="2"/>
      <c r="O337" s="1"/>
      <c r="P337" s="9">
        <v>3000.0</v>
      </c>
      <c r="Q337" s="9">
        <v>1600.0</v>
      </c>
      <c r="R337" s="10"/>
      <c r="S337" s="11">
        <v>44898.0</v>
      </c>
    </row>
    <row r="338" ht="9.0" customHeight="1">
      <c r="A338" s="4" t="s">
        <v>19</v>
      </c>
      <c r="B338" s="4" t="s">
        <v>500</v>
      </c>
      <c r="C338" s="4" t="s">
        <v>500</v>
      </c>
      <c r="D338" s="1" t="s">
        <v>501</v>
      </c>
      <c r="E338" s="4" t="s">
        <v>22</v>
      </c>
      <c r="F338" s="1"/>
      <c r="G338" s="4" t="s">
        <v>513</v>
      </c>
      <c r="H338" s="5" t="s">
        <v>507</v>
      </c>
      <c r="I338" s="5"/>
      <c r="J338" s="6"/>
      <c r="K338" s="6"/>
      <c r="L338" s="7"/>
      <c r="M338" s="1"/>
      <c r="N338" s="2"/>
      <c r="O338" s="1"/>
      <c r="P338" s="9">
        <v>3000.0</v>
      </c>
      <c r="Q338" s="9">
        <v>1600.0</v>
      </c>
      <c r="R338" s="10"/>
      <c r="S338" s="11">
        <v>44987.0</v>
      </c>
    </row>
    <row r="339" ht="9.0" customHeight="1">
      <c r="A339" s="4" t="s">
        <v>19</v>
      </c>
      <c r="B339" s="4" t="s">
        <v>500</v>
      </c>
      <c r="C339" s="4" t="s">
        <v>500</v>
      </c>
      <c r="D339" s="1" t="s">
        <v>501</v>
      </c>
      <c r="E339" s="4" t="s">
        <v>22</v>
      </c>
      <c r="F339" s="1"/>
      <c r="G339" s="4" t="s">
        <v>514</v>
      </c>
      <c r="H339" s="5" t="s">
        <v>507</v>
      </c>
      <c r="I339" s="5"/>
      <c r="J339" s="6"/>
      <c r="K339" s="6"/>
      <c r="L339" s="7"/>
      <c r="M339" s="1"/>
      <c r="N339" s="2"/>
      <c r="O339" s="1"/>
      <c r="P339" s="9">
        <v>3000.0</v>
      </c>
      <c r="Q339" s="9">
        <v>1600.0</v>
      </c>
      <c r="R339" s="10"/>
      <c r="S339" s="11">
        <v>45169.0</v>
      </c>
    </row>
    <row r="340" ht="9.0" customHeight="1">
      <c r="A340" s="4" t="s">
        <v>19</v>
      </c>
      <c r="B340" s="4" t="s">
        <v>500</v>
      </c>
      <c r="C340" s="4" t="s">
        <v>500</v>
      </c>
      <c r="D340" s="1" t="s">
        <v>501</v>
      </c>
      <c r="E340" s="4" t="s">
        <v>22</v>
      </c>
      <c r="F340" s="1"/>
      <c r="G340" s="4" t="s">
        <v>515</v>
      </c>
      <c r="H340" s="5" t="s">
        <v>507</v>
      </c>
      <c r="I340" s="5"/>
      <c r="J340" s="6"/>
      <c r="K340" s="6"/>
      <c r="L340" s="7"/>
      <c r="M340" s="1"/>
      <c r="N340" s="2"/>
      <c r="O340" s="1"/>
      <c r="P340" s="9">
        <v>3000.0</v>
      </c>
      <c r="Q340" s="9">
        <v>1600.0</v>
      </c>
      <c r="R340" s="10"/>
      <c r="S340" s="11">
        <v>45357.0</v>
      </c>
    </row>
    <row r="341" ht="9.0" customHeight="1">
      <c r="A341" s="4" t="s">
        <v>19</v>
      </c>
      <c r="B341" s="4" t="s">
        <v>500</v>
      </c>
      <c r="C341" s="4" t="s">
        <v>500</v>
      </c>
      <c r="D341" s="1" t="s">
        <v>501</v>
      </c>
      <c r="E341" s="4" t="s">
        <v>22</v>
      </c>
      <c r="F341" s="1"/>
      <c r="G341" s="4" t="s">
        <v>516</v>
      </c>
      <c r="H341" s="5" t="s">
        <v>507</v>
      </c>
      <c r="I341" s="5"/>
      <c r="J341" s="6"/>
      <c r="K341" s="6"/>
      <c r="L341" s="7"/>
      <c r="M341" s="1"/>
      <c r="N341" s="2"/>
      <c r="O341" s="1"/>
      <c r="P341" s="9">
        <v>3000.0</v>
      </c>
      <c r="Q341" s="9">
        <v>1600.0</v>
      </c>
      <c r="R341" s="10"/>
      <c r="S341" s="11">
        <v>45539.0</v>
      </c>
    </row>
    <row r="342" ht="9.0" customHeight="1">
      <c r="A342" s="4" t="s">
        <v>19</v>
      </c>
      <c r="B342" s="4" t="s">
        <v>500</v>
      </c>
      <c r="C342" s="4" t="s">
        <v>500</v>
      </c>
      <c r="D342" s="1" t="s">
        <v>501</v>
      </c>
      <c r="E342" s="4" t="s">
        <v>22</v>
      </c>
      <c r="F342" s="1"/>
      <c r="G342" s="4" t="s">
        <v>517</v>
      </c>
      <c r="H342" s="5" t="s">
        <v>507</v>
      </c>
      <c r="I342" s="5"/>
      <c r="J342" s="6"/>
      <c r="K342" s="6"/>
      <c r="L342" s="7"/>
      <c r="M342" s="1"/>
      <c r="N342" s="2"/>
      <c r="O342" s="1"/>
      <c r="P342" s="9">
        <v>3000.0</v>
      </c>
      <c r="Q342" s="9">
        <v>1600.0</v>
      </c>
      <c r="R342" s="10"/>
      <c r="S342" s="11"/>
    </row>
    <row r="343" ht="9.0" customHeight="1">
      <c r="A343" s="4" t="s">
        <v>19</v>
      </c>
      <c r="B343" s="4" t="s">
        <v>500</v>
      </c>
      <c r="C343" s="4" t="s">
        <v>500</v>
      </c>
      <c r="D343" s="1" t="s">
        <v>501</v>
      </c>
      <c r="E343" s="4" t="s">
        <v>22</v>
      </c>
      <c r="F343" s="1"/>
      <c r="G343" s="4" t="s">
        <v>518</v>
      </c>
      <c r="H343" s="5" t="s">
        <v>507</v>
      </c>
      <c r="I343" s="5"/>
      <c r="J343" s="6"/>
      <c r="K343" s="6"/>
      <c r="L343" s="7"/>
      <c r="M343" s="1"/>
      <c r="N343" s="8">
        <v>0.55</v>
      </c>
      <c r="O343" s="1"/>
      <c r="P343" s="9">
        <v>3000.0</v>
      </c>
      <c r="Q343" s="9">
        <v>1600.0</v>
      </c>
      <c r="R343" s="10"/>
      <c r="S343" s="11">
        <v>45903.0</v>
      </c>
    </row>
    <row r="344" ht="9.0" customHeight="1">
      <c r="A344" s="4" t="s">
        <v>19</v>
      </c>
      <c r="B344" s="4" t="s">
        <v>519</v>
      </c>
      <c r="C344" s="4" t="s">
        <v>519</v>
      </c>
      <c r="D344" s="1" t="s">
        <v>520</v>
      </c>
      <c r="E344" s="4" t="s">
        <v>22</v>
      </c>
      <c r="F344" s="1"/>
      <c r="G344" s="4" t="s">
        <v>521</v>
      </c>
      <c r="H344" s="5"/>
      <c r="I344" s="5"/>
      <c r="J344" s="6"/>
      <c r="K344" s="6"/>
      <c r="L344" s="7"/>
      <c r="M344" s="1"/>
      <c r="N344" s="2"/>
      <c r="O344" s="1"/>
      <c r="P344" s="9">
        <v>2400.0</v>
      </c>
      <c r="Q344" s="9">
        <v>1300.0</v>
      </c>
      <c r="R344" s="10"/>
      <c r="S344" s="11">
        <v>44918.0</v>
      </c>
    </row>
    <row r="345" ht="9.0" customHeight="1">
      <c r="A345" s="4" t="s">
        <v>19</v>
      </c>
      <c r="B345" s="4" t="s">
        <v>519</v>
      </c>
      <c r="C345" s="4" t="s">
        <v>519</v>
      </c>
      <c r="D345" s="1" t="s">
        <v>520</v>
      </c>
      <c r="E345" s="4" t="s">
        <v>22</v>
      </c>
      <c r="F345" s="1"/>
      <c r="G345" s="4" t="s">
        <v>522</v>
      </c>
      <c r="H345" s="5"/>
      <c r="I345" s="5"/>
      <c r="J345" s="6"/>
      <c r="K345" s="6"/>
      <c r="L345" s="7"/>
      <c r="M345" s="1"/>
      <c r="N345" s="2"/>
      <c r="O345" s="1"/>
      <c r="P345" s="9">
        <v>2600.0</v>
      </c>
      <c r="Q345" s="9">
        <v>1400.0</v>
      </c>
      <c r="R345" s="10"/>
      <c r="S345" s="11">
        <v>44924.0</v>
      </c>
    </row>
    <row r="346" ht="9.0" customHeight="1">
      <c r="A346" s="4" t="s">
        <v>19</v>
      </c>
      <c r="B346" s="4" t="s">
        <v>519</v>
      </c>
      <c r="C346" s="4" t="s">
        <v>519</v>
      </c>
      <c r="D346" s="1" t="s">
        <v>520</v>
      </c>
      <c r="E346" s="4" t="s">
        <v>22</v>
      </c>
      <c r="F346" s="1"/>
      <c r="G346" s="4" t="s">
        <v>523</v>
      </c>
      <c r="H346" s="5"/>
      <c r="I346" s="5"/>
      <c r="J346" s="6"/>
      <c r="K346" s="6"/>
      <c r="L346" s="7"/>
      <c r="M346" s="1"/>
      <c r="N346" s="2"/>
      <c r="O346" s="1"/>
      <c r="P346" s="9">
        <v>2800.0</v>
      </c>
      <c r="Q346" s="9">
        <v>1500.0</v>
      </c>
      <c r="R346" s="10"/>
      <c r="S346" s="11">
        <v>44935.0</v>
      </c>
    </row>
    <row r="347" ht="9.0" customHeight="1">
      <c r="A347" s="4" t="s">
        <v>19</v>
      </c>
      <c r="B347" s="4" t="s">
        <v>519</v>
      </c>
      <c r="C347" s="4" t="s">
        <v>519</v>
      </c>
      <c r="D347" s="1"/>
      <c r="E347" s="4" t="s">
        <v>44</v>
      </c>
      <c r="F347" s="1"/>
      <c r="G347" s="4" t="s">
        <v>524</v>
      </c>
      <c r="H347" s="5"/>
      <c r="I347" s="5"/>
      <c r="J347" s="6"/>
      <c r="K347" s="6"/>
      <c r="L347" s="7"/>
      <c r="M347" s="1"/>
      <c r="N347" s="2"/>
      <c r="O347" s="1"/>
      <c r="P347" s="9">
        <v>1000.0</v>
      </c>
      <c r="Q347" s="9">
        <v>600.0</v>
      </c>
      <c r="R347" s="10"/>
      <c r="S347" s="4"/>
    </row>
    <row r="348" ht="9.0" customHeight="1">
      <c r="A348" s="4" t="s">
        <v>19</v>
      </c>
      <c r="B348" s="4" t="s">
        <v>519</v>
      </c>
      <c r="C348" s="4" t="s">
        <v>519</v>
      </c>
      <c r="D348" s="1"/>
      <c r="E348" s="4" t="s">
        <v>44</v>
      </c>
      <c r="F348" s="1"/>
      <c r="G348" s="4" t="s">
        <v>525</v>
      </c>
      <c r="H348" s="5"/>
      <c r="I348" s="5"/>
      <c r="J348" s="6"/>
      <c r="K348" s="6"/>
      <c r="L348" s="7"/>
      <c r="M348" s="1"/>
      <c r="N348" s="2"/>
      <c r="O348" s="1"/>
      <c r="P348" s="9">
        <v>1000.0</v>
      </c>
      <c r="Q348" s="9">
        <v>600.0</v>
      </c>
      <c r="R348" s="10"/>
      <c r="S348" s="4"/>
    </row>
    <row r="349" ht="9.0" customHeight="1">
      <c r="A349" s="4" t="s">
        <v>19</v>
      </c>
      <c r="B349" s="4" t="s">
        <v>519</v>
      </c>
      <c r="C349" s="4" t="s">
        <v>519</v>
      </c>
      <c r="D349" s="1"/>
      <c r="E349" s="4" t="s">
        <v>44</v>
      </c>
      <c r="F349" s="1"/>
      <c r="G349" s="4" t="s">
        <v>526</v>
      </c>
      <c r="H349" s="5"/>
      <c r="I349" s="5"/>
      <c r="J349" s="6"/>
      <c r="K349" s="6"/>
      <c r="L349" s="7"/>
      <c r="M349" s="1"/>
      <c r="N349" s="2"/>
      <c r="O349" s="1"/>
      <c r="P349" s="9">
        <v>2600.0</v>
      </c>
      <c r="Q349" s="9">
        <v>1400.0</v>
      </c>
      <c r="R349" s="10"/>
      <c r="S349" s="11">
        <v>45648.0</v>
      </c>
    </row>
    <row r="350" ht="9.0" customHeight="1">
      <c r="A350" s="4" t="s">
        <v>19</v>
      </c>
      <c r="B350" s="4" t="s">
        <v>527</v>
      </c>
      <c r="C350" s="4" t="s">
        <v>527</v>
      </c>
      <c r="D350" s="1" t="s">
        <v>528</v>
      </c>
      <c r="E350" s="4" t="s">
        <v>92</v>
      </c>
      <c r="F350" s="1" t="s">
        <v>529</v>
      </c>
      <c r="G350" s="4" t="s">
        <v>530</v>
      </c>
      <c r="H350" s="12" t="s">
        <v>269</v>
      </c>
      <c r="I350" s="12"/>
      <c r="J350" s="6"/>
      <c r="K350" s="6"/>
      <c r="L350" s="6"/>
      <c r="M350" s="1"/>
      <c r="N350" s="2"/>
      <c r="O350" s="1"/>
      <c r="P350" s="9">
        <v>3000.0</v>
      </c>
      <c r="Q350" s="9">
        <v>1600.0</v>
      </c>
      <c r="R350" s="10"/>
      <c r="S350" s="4"/>
    </row>
    <row r="351" ht="9.0" customHeight="1">
      <c r="A351" s="4" t="s">
        <v>19</v>
      </c>
      <c r="B351" s="4" t="s">
        <v>527</v>
      </c>
      <c r="C351" s="4" t="s">
        <v>527</v>
      </c>
      <c r="D351" s="1" t="s">
        <v>528</v>
      </c>
      <c r="E351" s="4" t="s">
        <v>92</v>
      </c>
      <c r="F351" s="1" t="s">
        <v>531</v>
      </c>
      <c r="G351" s="4" t="s">
        <v>532</v>
      </c>
      <c r="H351" s="12" t="s">
        <v>533</v>
      </c>
      <c r="I351" s="12"/>
      <c r="J351" s="6"/>
      <c r="K351" s="6"/>
      <c r="L351" s="6"/>
      <c r="M351" s="1"/>
      <c r="N351" s="8">
        <v>0.57</v>
      </c>
      <c r="O351" s="1">
        <v>112.0</v>
      </c>
      <c r="P351" s="9">
        <v>3000.0</v>
      </c>
      <c r="Q351" s="9">
        <v>1600.0</v>
      </c>
      <c r="R351" s="10"/>
      <c r="S351" s="11">
        <v>45914.0</v>
      </c>
    </row>
    <row r="352" ht="9.0" customHeight="1">
      <c r="A352" s="4" t="s">
        <v>19</v>
      </c>
      <c r="B352" s="4" t="s">
        <v>527</v>
      </c>
      <c r="C352" s="4" t="s">
        <v>527</v>
      </c>
      <c r="D352" s="1" t="s">
        <v>528</v>
      </c>
      <c r="E352" s="4" t="s">
        <v>92</v>
      </c>
      <c r="F352" s="1" t="s">
        <v>534</v>
      </c>
      <c r="G352" s="4" t="s">
        <v>528</v>
      </c>
      <c r="H352" s="5" t="s">
        <v>535</v>
      </c>
      <c r="I352" s="5"/>
      <c r="J352" s="6"/>
      <c r="K352" s="6"/>
      <c r="L352" s="7"/>
      <c r="M352" s="1"/>
      <c r="N352" s="2"/>
      <c r="O352" s="1"/>
      <c r="P352" s="9">
        <v>3000.0</v>
      </c>
      <c r="Q352" s="9">
        <v>1600.0</v>
      </c>
      <c r="R352" s="10"/>
      <c r="S352" s="11">
        <v>44856.0</v>
      </c>
    </row>
    <row r="353" ht="9.0" customHeight="1">
      <c r="A353" s="4" t="s">
        <v>19</v>
      </c>
      <c r="B353" s="4" t="s">
        <v>527</v>
      </c>
      <c r="C353" s="4" t="s">
        <v>527</v>
      </c>
      <c r="D353" s="1" t="s">
        <v>528</v>
      </c>
      <c r="E353" s="4" t="s">
        <v>22</v>
      </c>
      <c r="F353" s="1"/>
      <c r="G353" s="4" t="s">
        <v>528</v>
      </c>
      <c r="H353" s="5"/>
      <c r="I353" s="5"/>
      <c r="J353" s="6"/>
      <c r="K353" s="6"/>
      <c r="L353" s="7" t="s">
        <v>23</v>
      </c>
      <c r="M353" s="1"/>
      <c r="N353" s="2"/>
      <c r="O353" s="1"/>
      <c r="P353" s="9">
        <v>1600.0</v>
      </c>
      <c r="Q353" s="9">
        <v>900.0</v>
      </c>
      <c r="R353" s="10"/>
      <c r="S353" s="11">
        <v>44984.0</v>
      </c>
    </row>
    <row r="354" ht="9.0" customHeight="1">
      <c r="A354" s="4" t="s">
        <v>19</v>
      </c>
      <c r="B354" s="4" t="s">
        <v>527</v>
      </c>
      <c r="C354" s="4" t="s">
        <v>527</v>
      </c>
      <c r="D354" s="1" t="s">
        <v>528</v>
      </c>
      <c r="E354" s="4" t="s">
        <v>22</v>
      </c>
      <c r="F354" s="1"/>
      <c r="G354" s="4" t="s">
        <v>536</v>
      </c>
      <c r="H354" s="5"/>
      <c r="I354" s="5"/>
      <c r="J354" s="6"/>
      <c r="K354" s="6"/>
      <c r="L354" s="7"/>
      <c r="M354" s="1"/>
      <c r="N354" s="2"/>
      <c r="O354" s="1"/>
      <c r="P354" s="9">
        <v>2600.0</v>
      </c>
      <c r="Q354" s="9">
        <v>1400.0</v>
      </c>
      <c r="R354" s="10"/>
      <c r="S354" s="4"/>
    </row>
    <row r="355" ht="9.0" customHeight="1">
      <c r="A355" s="4" t="s">
        <v>19</v>
      </c>
      <c r="B355" s="4" t="s">
        <v>527</v>
      </c>
      <c r="C355" s="4" t="s">
        <v>527</v>
      </c>
      <c r="D355" s="1" t="s">
        <v>528</v>
      </c>
      <c r="E355" s="4" t="s">
        <v>22</v>
      </c>
      <c r="F355" s="1"/>
      <c r="G355" s="4" t="s">
        <v>537</v>
      </c>
      <c r="H355" s="5"/>
      <c r="I355" s="5"/>
      <c r="J355" s="6"/>
      <c r="K355" s="6"/>
      <c r="L355" s="7"/>
      <c r="M355" s="1"/>
      <c r="N355" s="2"/>
      <c r="O355" s="1"/>
      <c r="P355" s="9">
        <v>2600.0</v>
      </c>
      <c r="Q355" s="9">
        <v>1400.0</v>
      </c>
      <c r="R355" s="10"/>
      <c r="S355" s="4"/>
    </row>
    <row r="356" ht="9.0" customHeight="1">
      <c r="A356" s="4" t="s">
        <v>19</v>
      </c>
      <c r="B356" s="4" t="s">
        <v>527</v>
      </c>
      <c r="C356" s="4" t="s">
        <v>527</v>
      </c>
      <c r="D356" s="1" t="s">
        <v>528</v>
      </c>
      <c r="E356" s="4" t="s">
        <v>22</v>
      </c>
      <c r="F356" s="1"/>
      <c r="G356" s="4" t="s">
        <v>538</v>
      </c>
      <c r="H356" s="5"/>
      <c r="I356" s="5"/>
      <c r="J356" s="6"/>
      <c r="K356" s="6"/>
      <c r="L356" s="7"/>
      <c r="M356" s="1"/>
      <c r="N356" s="2"/>
      <c r="O356" s="1"/>
      <c r="P356" s="9">
        <v>2600.0</v>
      </c>
      <c r="Q356" s="9">
        <v>1400.0</v>
      </c>
      <c r="R356" s="10"/>
      <c r="S356" s="4"/>
    </row>
    <row r="357" ht="9.0" customHeight="1">
      <c r="A357" s="4" t="s">
        <v>19</v>
      </c>
      <c r="B357" s="4" t="s">
        <v>539</v>
      </c>
      <c r="C357" s="4" t="s">
        <v>539</v>
      </c>
      <c r="D357" s="1" t="s">
        <v>539</v>
      </c>
      <c r="E357" s="4" t="s">
        <v>92</v>
      </c>
      <c r="F357" s="1" t="s">
        <v>540</v>
      </c>
      <c r="G357" s="4" t="s">
        <v>541</v>
      </c>
      <c r="H357" s="5"/>
      <c r="I357" s="5"/>
      <c r="J357" s="6"/>
      <c r="K357" s="6"/>
      <c r="L357" s="7"/>
      <c r="M357" s="1"/>
      <c r="N357" s="2"/>
      <c r="O357" s="1"/>
      <c r="P357" s="9">
        <v>2200.0</v>
      </c>
      <c r="Q357" s="9">
        <v>1200.0</v>
      </c>
      <c r="R357" s="10"/>
      <c r="S357" s="4"/>
    </row>
    <row r="358" ht="9.0" customHeight="1">
      <c r="A358" s="4" t="s">
        <v>19</v>
      </c>
      <c r="B358" s="4" t="s">
        <v>539</v>
      </c>
      <c r="C358" s="4" t="s">
        <v>539</v>
      </c>
      <c r="D358" s="1" t="s">
        <v>539</v>
      </c>
      <c r="E358" s="4" t="s">
        <v>92</v>
      </c>
      <c r="F358" s="1" t="s">
        <v>542</v>
      </c>
      <c r="G358" s="4" t="s">
        <v>543</v>
      </c>
      <c r="H358" s="5"/>
      <c r="I358" s="5"/>
      <c r="J358" s="6"/>
      <c r="K358" s="6"/>
      <c r="L358" s="7"/>
      <c r="M358" s="1"/>
      <c r="N358" s="2"/>
      <c r="O358" s="1"/>
      <c r="P358" s="9">
        <v>2400.0</v>
      </c>
      <c r="Q358" s="9">
        <v>1300.0</v>
      </c>
      <c r="R358" s="10"/>
      <c r="S358" s="4"/>
    </row>
    <row r="359" ht="9.0" customHeight="1">
      <c r="A359" s="4" t="s">
        <v>19</v>
      </c>
      <c r="B359" s="4" t="s">
        <v>539</v>
      </c>
      <c r="C359" s="4" t="s">
        <v>544</v>
      </c>
      <c r="D359" s="1" t="s">
        <v>539</v>
      </c>
      <c r="E359" s="4" t="s">
        <v>92</v>
      </c>
      <c r="F359" s="1" t="s">
        <v>545</v>
      </c>
      <c r="G359" s="4" t="s">
        <v>546</v>
      </c>
      <c r="H359" s="12" t="s">
        <v>547</v>
      </c>
      <c r="I359" s="12"/>
      <c r="J359" s="6"/>
      <c r="K359" s="6"/>
      <c r="L359" s="6"/>
      <c r="M359" s="1"/>
      <c r="N359" s="2"/>
      <c r="O359" s="1"/>
      <c r="P359" s="9">
        <v>3500.0</v>
      </c>
      <c r="Q359" s="9">
        <v>1900.0</v>
      </c>
      <c r="R359" s="10"/>
      <c r="S359" s="4"/>
    </row>
    <row r="360" ht="9.0" customHeight="1">
      <c r="A360" s="4" t="s">
        <v>19</v>
      </c>
      <c r="B360" s="4" t="s">
        <v>539</v>
      </c>
      <c r="C360" s="4" t="s">
        <v>539</v>
      </c>
      <c r="D360" s="1" t="s">
        <v>539</v>
      </c>
      <c r="E360" s="4" t="s">
        <v>92</v>
      </c>
      <c r="F360" s="1" t="s">
        <v>548</v>
      </c>
      <c r="G360" s="4" t="s">
        <v>549</v>
      </c>
      <c r="H360" s="5"/>
      <c r="I360" s="5"/>
      <c r="J360" s="6"/>
      <c r="K360" s="6"/>
      <c r="L360" s="7"/>
      <c r="M360" s="1"/>
      <c r="N360" s="2"/>
      <c r="O360" s="1"/>
      <c r="P360" s="9">
        <v>3000.0</v>
      </c>
      <c r="Q360" s="9">
        <v>1600.0</v>
      </c>
      <c r="R360" s="10"/>
      <c r="S360" s="4"/>
    </row>
    <row r="361" ht="9.0" customHeight="1">
      <c r="A361" s="4" t="s">
        <v>19</v>
      </c>
      <c r="B361" s="4" t="s">
        <v>539</v>
      </c>
      <c r="C361" s="4" t="s">
        <v>539</v>
      </c>
      <c r="D361" s="1" t="s">
        <v>539</v>
      </c>
      <c r="E361" s="4" t="s">
        <v>92</v>
      </c>
      <c r="F361" s="1" t="s">
        <v>550</v>
      </c>
      <c r="G361" s="4" t="s">
        <v>551</v>
      </c>
      <c r="H361" s="5"/>
      <c r="I361" s="5"/>
      <c r="J361" s="6"/>
      <c r="K361" s="6"/>
      <c r="L361" s="7"/>
      <c r="M361" s="1"/>
      <c r="N361" s="2"/>
      <c r="O361" s="1"/>
      <c r="P361" s="9">
        <v>2800.0</v>
      </c>
      <c r="Q361" s="9">
        <v>1500.0</v>
      </c>
      <c r="R361" s="10"/>
      <c r="S361" s="11">
        <v>45386.0</v>
      </c>
    </row>
    <row r="362" ht="9.0" customHeight="1">
      <c r="A362" s="4" t="s">
        <v>19</v>
      </c>
      <c r="B362" s="4" t="s">
        <v>539</v>
      </c>
      <c r="C362" s="5" t="s">
        <v>324</v>
      </c>
      <c r="D362" s="1" t="s">
        <v>539</v>
      </c>
      <c r="E362" s="4" t="s">
        <v>92</v>
      </c>
      <c r="F362" s="1" t="s">
        <v>552</v>
      </c>
      <c r="G362" s="4" t="s">
        <v>553</v>
      </c>
      <c r="H362" s="5"/>
      <c r="I362" s="5"/>
      <c r="J362" s="6"/>
      <c r="K362" s="6"/>
      <c r="L362" s="7"/>
      <c r="M362" s="1"/>
      <c r="N362" s="2"/>
      <c r="O362" s="1"/>
      <c r="P362" s="9">
        <v>3500.0</v>
      </c>
      <c r="Q362" s="9">
        <v>1900.0</v>
      </c>
      <c r="R362" s="10"/>
      <c r="S362" s="11">
        <v>44939.0</v>
      </c>
    </row>
    <row r="363" ht="9.0" customHeight="1">
      <c r="A363" s="4" t="s">
        <v>19</v>
      </c>
      <c r="B363" s="4" t="s">
        <v>539</v>
      </c>
      <c r="C363" s="5" t="s">
        <v>454</v>
      </c>
      <c r="D363" s="1" t="s">
        <v>539</v>
      </c>
      <c r="E363" s="4" t="s">
        <v>92</v>
      </c>
      <c r="F363" s="1"/>
      <c r="G363" s="4" t="s">
        <v>554</v>
      </c>
      <c r="H363" s="5" t="s">
        <v>555</v>
      </c>
      <c r="I363" s="5"/>
      <c r="J363" s="6"/>
      <c r="K363" s="6"/>
      <c r="L363" s="7"/>
      <c r="M363" s="1"/>
      <c r="N363" s="2"/>
      <c r="O363" s="1"/>
      <c r="P363" s="9">
        <v>2000.0</v>
      </c>
      <c r="Q363" s="9">
        <v>1100.0</v>
      </c>
      <c r="R363" s="10"/>
      <c r="S363" s="11">
        <v>45389.0</v>
      </c>
    </row>
    <row r="364" ht="9.0" customHeight="1">
      <c r="A364" s="4" t="s">
        <v>19</v>
      </c>
      <c r="B364" s="4" t="s">
        <v>539</v>
      </c>
      <c r="C364" s="5" t="s">
        <v>454</v>
      </c>
      <c r="D364" s="1" t="s">
        <v>539</v>
      </c>
      <c r="E364" s="4" t="s">
        <v>92</v>
      </c>
      <c r="F364" s="1"/>
      <c r="G364" s="4" t="s">
        <v>556</v>
      </c>
      <c r="H364" s="5" t="s">
        <v>555</v>
      </c>
      <c r="I364" s="5"/>
      <c r="J364" s="6"/>
      <c r="K364" s="6"/>
      <c r="L364" s="7"/>
      <c r="M364" s="1"/>
      <c r="N364" s="2"/>
      <c r="O364" s="1"/>
      <c r="P364" s="9">
        <v>2200.0</v>
      </c>
      <c r="Q364" s="9">
        <v>1200.0</v>
      </c>
      <c r="R364" s="10"/>
      <c r="S364" s="11">
        <v>45388.0</v>
      </c>
    </row>
    <row r="365" ht="9.0" customHeight="1">
      <c r="A365" s="4" t="s">
        <v>19</v>
      </c>
      <c r="B365" s="4" t="s">
        <v>539</v>
      </c>
      <c r="C365" s="5" t="s">
        <v>454</v>
      </c>
      <c r="D365" s="1" t="s">
        <v>539</v>
      </c>
      <c r="E365" s="4" t="s">
        <v>92</v>
      </c>
      <c r="F365" s="1"/>
      <c r="G365" s="4" t="s">
        <v>557</v>
      </c>
      <c r="H365" s="5" t="s">
        <v>555</v>
      </c>
      <c r="I365" s="5"/>
      <c r="J365" s="6"/>
      <c r="K365" s="6"/>
      <c r="L365" s="7"/>
      <c r="M365" s="1"/>
      <c r="N365" s="2"/>
      <c r="O365" s="1"/>
      <c r="P365" s="9">
        <v>2400.0</v>
      </c>
      <c r="Q365" s="9">
        <v>1300.0</v>
      </c>
      <c r="R365" s="10"/>
      <c r="S365" s="11">
        <v>45387.0</v>
      </c>
    </row>
    <row r="366" ht="9.0" customHeight="1">
      <c r="A366" s="4" t="s">
        <v>19</v>
      </c>
      <c r="B366" s="4" t="s">
        <v>539</v>
      </c>
      <c r="C366" s="4" t="s">
        <v>539</v>
      </c>
      <c r="D366" s="1" t="s">
        <v>539</v>
      </c>
      <c r="E366" s="4" t="s">
        <v>22</v>
      </c>
      <c r="F366" s="1"/>
      <c r="G366" s="4" t="s">
        <v>558</v>
      </c>
      <c r="H366" s="5"/>
      <c r="I366" s="5"/>
      <c r="J366" s="6"/>
      <c r="K366" s="6"/>
      <c r="L366" s="7" t="s">
        <v>23</v>
      </c>
      <c r="M366" s="1"/>
      <c r="N366" s="2"/>
      <c r="O366" s="1"/>
      <c r="P366" s="9">
        <v>1200.0</v>
      </c>
      <c r="Q366" s="9">
        <v>700.0</v>
      </c>
      <c r="R366" s="10"/>
      <c r="S366" s="11">
        <v>45741.0</v>
      </c>
    </row>
    <row r="367" ht="9.0" customHeight="1">
      <c r="A367" s="4" t="s">
        <v>19</v>
      </c>
      <c r="B367" s="4" t="s">
        <v>539</v>
      </c>
      <c r="C367" s="4" t="s">
        <v>539</v>
      </c>
      <c r="D367" s="1" t="s">
        <v>539</v>
      </c>
      <c r="E367" s="4" t="s">
        <v>22</v>
      </c>
      <c r="F367" s="1"/>
      <c r="G367" s="4" t="s">
        <v>559</v>
      </c>
      <c r="H367" s="5"/>
      <c r="I367" s="5"/>
      <c r="J367" s="6"/>
      <c r="K367" s="6"/>
      <c r="L367" s="7"/>
      <c r="M367" s="1"/>
      <c r="N367" s="2"/>
      <c r="O367" s="1"/>
      <c r="P367" s="9">
        <v>2800.0</v>
      </c>
      <c r="Q367" s="9">
        <v>1500.0</v>
      </c>
      <c r="R367" s="10"/>
      <c r="S367" s="11">
        <v>45166.0</v>
      </c>
    </row>
    <row r="368" ht="9.0" customHeight="1">
      <c r="A368" s="4" t="s">
        <v>19</v>
      </c>
      <c r="B368" s="4" t="s">
        <v>539</v>
      </c>
      <c r="C368" s="4" t="s">
        <v>539</v>
      </c>
      <c r="D368" s="1" t="s">
        <v>539</v>
      </c>
      <c r="E368" s="4" t="s">
        <v>22</v>
      </c>
      <c r="F368" s="1"/>
      <c r="G368" s="4" t="s">
        <v>560</v>
      </c>
      <c r="H368" s="5"/>
      <c r="I368" s="5"/>
      <c r="J368" s="6"/>
      <c r="K368" s="6"/>
      <c r="L368" s="7"/>
      <c r="M368" s="1"/>
      <c r="N368" s="2"/>
      <c r="O368" s="1"/>
      <c r="P368" s="9">
        <v>2800.0</v>
      </c>
      <c r="Q368" s="9">
        <v>1500.0</v>
      </c>
      <c r="R368" s="10"/>
      <c r="S368" s="4"/>
    </row>
    <row r="369" ht="9.0" customHeight="1">
      <c r="A369" s="4" t="s">
        <v>19</v>
      </c>
      <c r="B369" s="4" t="s">
        <v>539</v>
      </c>
      <c r="C369" s="4" t="s">
        <v>539</v>
      </c>
      <c r="D369" s="1" t="s">
        <v>539</v>
      </c>
      <c r="E369" s="4" t="s">
        <v>22</v>
      </c>
      <c r="F369" s="1"/>
      <c r="G369" s="4" t="s">
        <v>561</v>
      </c>
      <c r="H369" s="5"/>
      <c r="I369" s="5"/>
      <c r="J369" s="6"/>
      <c r="K369" s="6"/>
      <c r="L369" s="7"/>
      <c r="M369" s="1"/>
      <c r="N369" s="2"/>
      <c r="O369" s="1"/>
      <c r="P369" s="9">
        <v>2600.0</v>
      </c>
      <c r="Q369" s="9">
        <v>1400.0</v>
      </c>
      <c r="R369" s="10"/>
      <c r="S369" s="11">
        <v>45729.0</v>
      </c>
    </row>
    <row r="370" ht="9.0" customHeight="1">
      <c r="A370" s="4" t="s">
        <v>19</v>
      </c>
      <c r="B370" s="4" t="s">
        <v>539</v>
      </c>
      <c r="C370" s="4" t="s">
        <v>539</v>
      </c>
      <c r="D370" s="1"/>
      <c r="E370" s="4" t="s">
        <v>44</v>
      </c>
      <c r="F370" s="1"/>
      <c r="G370" s="4" t="s">
        <v>562</v>
      </c>
      <c r="H370" s="5" t="s">
        <v>563</v>
      </c>
      <c r="I370" s="5"/>
      <c r="J370" s="6"/>
      <c r="K370" s="6"/>
      <c r="L370" s="7"/>
      <c r="M370" s="1"/>
      <c r="N370" s="2"/>
      <c r="O370" s="1"/>
      <c r="P370" s="9">
        <v>900.0</v>
      </c>
      <c r="Q370" s="9">
        <v>550.0</v>
      </c>
      <c r="R370" s="10"/>
      <c r="S370" s="4"/>
    </row>
    <row r="371" ht="9.0" customHeight="1">
      <c r="A371" s="4" t="s">
        <v>19</v>
      </c>
      <c r="B371" s="4" t="s">
        <v>539</v>
      </c>
      <c r="C371" s="4" t="s">
        <v>539</v>
      </c>
      <c r="D371" s="1"/>
      <c r="E371" s="4" t="s">
        <v>44</v>
      </c>
      <c r="F371" s="1"/>
      <c r="G371" s="4" t="s">
        <v>564</v>
      </c>
      <c r="H371" s="5" t="s">
        <v>563</v>
      </c>
      <c r="I371" s="5"/>
      <c r="J371" s="6"/>
      <c r="K371" s="6"/>
      <c r="L371" s="7"/>
      <c r="M371" s="1"/>
      <c r="N371" s="2"/>
      <c r="O371" s="1"/>
      <c r="P371" s="9">
        <v>900.0</v>
      </c>
      <c r="Q371" s="9">
        <v>550.0</v>
      </c>
      <c r="R371" s="10"/>
      <c r="S371" s="4"/>
    </row>
    <row r="372" ht="9.0" customHeight="1">
      <c r="A372" s="4" t="s">
        <v>19</v>
      </c>
      <c r="B372" s="4" t="s">
        <v>539</v>
      </c>
      <c r="C372" s="4" t="s">
        <v>539</v>
      </c>
      <c r="D372" s="1"/>
      <c r="E372" s="4" t="s">
        <v>44</v>
      </c>
      <c r="F372" s="1"/>
      <c r="G372" s="4" t="s">
        <v>565</v>
      </c>
      <c r="H372" s="5"/>
      <c r="I372" s="5"/>
      <c r="J372" s="6"/>
      <c r="K372" s="6"/>
      <c r="L372" s="7" t="s">
        <v>23</v>
      </c>
      <c r="M372" s="1"/>
      <c r="N372" s="2"/>
      <c r="O372" s="1"/>
      <c r="P372" s="9">
        <v>1100.0</v>
      </c>
      <c r="Q372" s="9">
        <v>650.0</v>
      </c>
      <c r="R372" s="10"/>
      <c r="S372" s="4"/>
    </row>
    <row r="373" ht="9.0" customHeight="1">
      <c r="A373" s="4" t="s">
        <v>19</v>
      </c>
      <c r="B373" s="4" t="s">
        <v>539</v>
      </c>
      <c r="C373" s="4" t="s">
        <v>539</v>
      </c>
      <c r="D373" s="1"/>
      <c r="E373" s="4" t="s">
        <v>38</v>
      </c>
      <c r="F373" s="1"/>
      <c r="G373" s="4" t="s">
        <v>566</v>
      </c>
      <c r="H373" s="5"/>
      <c r="I373" s="5"/>
      <c r="J373" s="6"/>
      <c r="K373" s="6"/>
      <c r="L373" s="7"/>
      <c r="M373" s="1"/>
      <c r="N373" s="2"/>
      <c r="O373" s="1"/>
      <c r="P373" s="9">
        <v>1800.0</v>
      </c>
      <c r="Q373" s="9">
        <v>1000.0</v>
      </c>
      <c r="R373" s="10"/>
      <c r="S373" s="11">
        <v>45390.0</v>
      </c>
    </row>
    <row r="374" ht="9.0" customHeight="1">
      <c r="A374" s="4" t="s">
        <v>19</v>
      </c>
      <c r="B374" s="4" t="s">
        <v>539</v>
      </c>
      <c r="C374" s="4" t="s">
        <v>539</v>
      </c>
      <c r="D374" s="1"/>
      <c r="E374" s="4" t="s">
        <v>38</v>
      </c>
      <c r="F374" s="1"/>
      <c r="G374" s="4" t="s">
        <v>567</v>
      </c>
      <c r="H374" s="5"/>
      <c r="I374" s="5"/>
      <c r="J374" s="6"/>
      <c r="K374" s="6"/>
      <c r="L374" s="7"/>
      <c r="M374" s="1"/>
      <c r="N374" s="2"/>
      <c r="O374" s="1"/>
      <c r="P374" s="9">
        <v>2200.0</v>
      </c>
      <c r="Q374" s="9">
        <v>1200.0</v>
      </c>
      <c r="R374" s="10"/>
      <c r="S374" s="11">
        <v>45168.0</v>
      </c>
    </row>
    <row r="375" ht="9.0" customHeight="1">
      <c r="A375" s="4" t="s">
        <v>19</v>
      </c>
      <c r="B375" s="4" t="s">
        <v>568</v>
      </c>
      <c r="C375" s="4" t="s">
        <v>568</v>
      </c>
      <c r="D375" s="1" t="s">
        <v>569</v>
      </c>
      <c r="E375" s="4" t="s">
        <v>92</v>
      </c>
      <c r="F375" s="1" t="s">
        <v>570</v>
      </c>
      <c r="G375" s="4" t="s">
        <v>571</v>
      </c>
      <c r="H375" s="5" t="s">
        <v>572</v>
      </c>
      <c r="I375" s="5"/>
      <c r="J375" s="6"/>
      <c r="K375" s="6"/>
      <c r="L375" s="7"/>
      <c r="M375" s="1"/>
      <c r="N375" s="2"/>
      <c r="O375" s="1"/>
      <c r="P375" s="9">
        <v>3000.0</v>
      </c>
      <c r="Q375" s="9">
        <v>1600.0</v>
      </c>
      <c r="R375" s="10"/>
      <c r="S375" s="11">
        <v>45652.0</v>
      </c>
    </row>
    <row r="376" ht="9.0" customHeight="1">
      <c r="A376" s="4" t="s">
        <v>19</v>
      </c>
      <c r="B376" s="4" t="s">
        <v>568</v>
      </c>
      <c r="C376" s="4" t="s">
        <v>568</v>
      </c>
      <c r="D376" s="1" t="s">
        <v>569</v>
      </c>
      <c r="E376" s="4" t="s">
        <v>22</v>
      </c>
      <c r="F376" s="1"/>
      <c r="G376" s="4" t="s">
        <v>573</v>
      </c>
      <c r="H376" s="5"/>
      <c r="I376" s="5"/>
      <c r="J376" s="6"/>
      <c r="K376" s="6"/>
      <c r="L376" s="7" t="s">
        <v>23</v>
      </c>
      <c r="M376" s="1"/>
      <c r="N376" s="2"/>
      <c r="O376" s="1"/>
      <c r="P376" s="9">
        <v>2200.0</v>
      </c>
      <c r="Q376" s="9">
        <v>1200.0</v>
      </c>
      <c r="R376" s="10"/>
      <c r="S376" s="11">
        <v>45279.0</v>
      </c>
    </row>
    <row r="377" ht="9.0" customHeight="1">
      <c r="A377" s="4" t="s">
        <v>19</v>
      </c>
      <c r="B377" s="4" t="s">
        <v>568</v>
      </c>
      <c r="C377" s="4" t="s">
        <v>568</v>
      </c>
      <c r="D377" s="1" t="s">
        <v>569</v>
      </c>
      <c r="E377" s="4" t="s">
        <v>22</v>
      </c>
      <c r="F377" s="1"/>
      <c r="G377" s="4" t="s">
        <v>574</v>
      </c>
      <c r="H377" s="5"/>
      <c r="I377" s="5"/>
      <c r="J377" s="6"/>
      <c r="K377" s="6"/>
      <c r="L377" s="7"/>
      <c r="M377" s="1"/>
      <c r="N377" s="2"/>
      <c r="O377" s="1"/>
      <c r="P377" s="9">
        <v>2400.0</v>
      </c>
      <c r="Q377" s="9">
        <v>1300.0</v>
      </c>
      <c r="R377" s="10"/>
      <c r="S377" s="4"/>
    </row>
    <row r="378" ht="9.0" customHeight="1">
      <c r="A378" s="4" t="s">
        <v>19</v>
      </c>
      <c r="B378" s="4" t="s">
        <v>568</v>
      </c>
      <c r="C378" s="5" t="s">
        <v>575</v>
      </c>
      <c r="D378" s="1"/>
      <c r="E378" s="4" t="s">
        <v>44</v>
      </c>
      <c r="F378" s="1"/>
      <c r="G378" s="4" t="s">
        <v>576</v>
      </c>
      <c r="H378" s="5"/>
      <c r="I378" s="5"/>
      <c r="J378" s="6"/>
      <c r="K378" s="6"/>
      <c r="L378" s="7"/>
      <c r="M378" s="1"/>
      <c r="N378" s="2"/>
      <c r="O378" s="1"/>
      <c r="P378" s="9">
        <v>2000.0</v>
      </c>
      <c r="Q378" s="9">
        <v>1100.0</v>
      </c>
      <c r="R378" s="10"/>
      <c r="S378" s="11">
        <v>45694.0</v>
      </c>
    </row>
    <row r="379" ht="9.0" customHeight="1">
      <c r="A379" s="4" t="s">
        <v>19</v>
      </c>
      <c r="B379" s="4" t="s">
        <v>568</v>
      </c>
      <c r="C379" s="5" t="s">
        <v>575</v>
      </c>
      <c r="D379" s="1"/>
      <c r="E379" s="4" t="s">
        <v>44</v>
      </c>
      <c r="F379" s="1"/>
      <c r="G379" s="4" t="s">
        <v>577</v>
      </c>
      <c r="H379" s="5"/>
      <c r="I379" s="5"/>
      <c r="J379" s="6"/>
      <c r="K379" s="6"/>
      <c r="L379" s="7"/>
      <c r="M379" s="1"/>
      <c r="N379" s="2"/>
      <c r="O379" s="1"/>
      <c r="P379" s="9">
        <v>1800.0</v>
      </c>
      <c r="Q379" s="9">
        <v>1000.0</v>
      </c>
      <c r="R379" s="10"/>
      <c r="S379" s="11">
        <v>45691.0</v>
      </c>
    </row>
    <row r="380" ht="9.0" customHeight="1">
      <c r="A380" s="4" t="s">
        <v>19</v>
      </c>
      <c r="B380" s="4" t="s">
        <v>568</v>
      </c>
      <c r="C380" s="5" t="s">
        <v>575</v>
      </c>
      <c r="D380" s="1"/>
      <c r="E380" s="4" t="s">
        <v>38</v>
      </c>
      <c r="F380" s="1"/>
      <c r="G380" s="4" t="s">
        <v>578</v>
      </c>
      <c r="H380" s="5"/>
      <c r="I380" s="5"/>
      <c r="J380" s="6"/>
      <c r="K380" s="6"/>
      <c r="L380" s="7"/>
      <c r="M380" s="1"/>
      <c r="N380" s="2"/>
      <c r="O380" s="1"/>
      <c r="P380" s="9">
        <v>2200.0</v>
      </c>
      <c r="Q380" s="9">
        <v>1200.0</v>
      </c>
      <c r="R380" s="10"/>
      <c r="S380" s="11">
        <v>45692.0</v>
      </c>
    </row>
    <row r="381" ht="9.0" customHeight="1">
      <c r="A381" s="4" t="s">
        <v>19</v>
      </c>
      <c r="B381" s="4" t="s">
        <v>568</v>
      </c>
      <c r="C381" s="5" t="s">
        <v>575</v>
      </c>
      <c r="D381" s="1"/>
      <c r="E381" s="4" t="s">
        <v>38</v>
      </c>
      <c r="F381" s="1"/>
      <c r="G381" s="4" t="s">
        <v>579</v>
      </c>
      <c r="H381" s="5"/>
      <c r="I381" s="5"/>
      <c r="J381" s="6"/>
      <c r="K381" s="6"/>
      <c r="L381" s="7"/>
      <c r="M381" s="1"/>
      <c r="N381" s="2"/>
      <c r="O381" s="1"/>
      <c r="P381" s="9">
        <v>2000.0</v>
      </c>
      <c r="Q381" s="9">
        <v>1100.0</v>
      </c>
      <c r="R381" s="10"/>
      <c r="S381" s="11">
        <v>45693.0</v>
      </c>
    </row>
    <row r="382" ht="9.0" customHeight="1">
      <c r="A382" s="4" t="s">
        <v>19</v>
      </c>
      <c r="B382" s="4" t="s">
        <v>568</v>
      </c>
      <c r="C382" s="5" t="s">
        <v>575</v>
      </c>
      <c r="D382" s="1"/>
      <c r="E382" s="4" t="s">
        <v>44</v>
      </c>
      <c r="F382" s="1"/>
      <c r="G382" s="4" t="s">
        <v>580</v>
      </c>
      <c r="H382" s="5"/>
      <c r="I382" s="5"/>
      <c r="J382" s="6"/>
      <c r="K382" s="6"/>
      <c r="L382" s="7"/>
      <c r="M382" s="1"/>
      <c r="N382" s="2"/>
      <c r="O382" s="1"/>
      <c r="P382" s="9">
        <v>2800.0</v>
      </c>
      <c r="Q382" s="9">
        <v>1500.0</v>
      </c>
      <c r="R382" s="10"/>
      <c r="S382" s="11">
        <v>45697.0</v>
      </c>
    </row>
    <row r="383" ht="9.0" customHeight="1">
      <c r="A383" s="4" t="s">
        <v>19</v>
      </c>
      <c r="B383" s="4" t="s">
        <v>568</v>
      </c>
      <c r="C383" s="4" t="s">
        <v>568</v>
      </c>
      <c r="D383" s="1"/>
      <c r="E383" s="4" t="s">
        <v>38</v>
      </c>
      <c r="F383" s="1"/>
      <c r="G383" s="4" t="s">
        <v>581</v>
      </c>
      <c r="H383" s="5"/>
      <c r="I383" s="5"/>
      <c r="J383" s="6"/>
      <c r="K383" s="6"/>
      <c r="L383" s="7"/>
      <c r="M383" s="1"/>
      <c r="N383" s="2"/>
      <c r="O383" s="1"/>
      <c r="P383" s="9">
        <v>1200.0</v>
      </c>
      <c r="Q383" s="9">
        <v>700.0</v>
      </c>
      <c r="R383" s="10"/>
      <c r="S383" s="4"/>
    </row>
    <row r="384" ht="9.0" customHeight="1">
      <c r="A384" s="4" t="s">
        <v>19</v>
      </c>
      <c r="B384" s="4" t="s">
        <v>568</v>
      </c>
      <c r="C384" s="4" t="s">
        <v>568</v>
      </c>
      <c r="D384" s="1"/>
      <c r="E384" s="4" t="s">
        <v>38</v>
      </c>
      <c r="F384" s="1"/>
      <c r="G384" s="4" t="s">
        <v>582</v>
      </c>
      <c r="H384" s="5"/>
      <c r="I384" s="5"/>
      <c r="J384" s="6"/>
      <c r="K384" s="6"/>
      <c r="L384" s="7"/>
      <c r="M384" s="1"/>
      <c r="N384" s="2"/>
      <c r="O384" s="1"/>
      <c r="P384" s="9">
        <v>2800.0</v>
      </c>
      <c r="Q384" s="9">
        <v>1500.0</v>
      </c>
      <c r="R384" s="10"/>
      <c r="S384" s="11">
        <v>44996.0</v>
      </c>
    </row>
    <row r="385" ht="9.0" customHeight="1">
      <c r="A385" s="4" t="s">
        <v>19</v>
      </c>
      <c r="B385" s="4" t="s">
        <v>568</v>
      </c>
      <c r="C385" s="4" t="s">
        <v>568</v>
      </c>
      <c r="D385" s="1"/>
      <c r="E385" s="4" t="s">
        <v>38</v>
      </c>
      <c r="F385" s="1"/>
      <c r="G385" s="4" t="s">
        <v>583</v>
      </c>
      <c r="H385" s="5"/>
      <c r="I385" s="5"/>
      <c r="J385" s="6"/>
      <c r="K385" s="6"/>
      <c r="L385" s="7"/>
      <c r="M385" s="1"/>
      <c r="N385" s="2"/>
      <c r="O385" s="1"/>
      <c r="P385" s="9">
        <v>3000.0</v>
      </c>
      <c r="Q385" s="9">
        <v>1600.0</v>
      </c>
      <c r="R385" s="10"/>
      <c r="S385" s="11">
        <v>44944.0</v>
      </c>
    </row>
    <row r="386" ht="9.0" customHeight="1">
      <c r="A386" s="4" t="s">
        <v>19</v>
      </c>
      <c r="B386" s="4" t="s">
        <v>568</v>
      </c>
      <c r="C386" s="4" t="s">
        <v>568</v>
      </c>
      <c r="D386" s="1"/>
      <c r="E386" s="4" t="s">
        <v>44</v>
      </c>
      <c r="F386" s="1"/>
      <c r="G386" s="4" t="s">
        <v>584</v>
      </c>
      <c r="H386" s="5"/>
      <c r="I386" s="5"/>
      <c r="J386" s="6"/>
      <c r="K386" s="6"/>
      <c r="L386" s="7" t="s">
        <v>23</v>
      </c>
      <c r="M386" s="1"/>
      <c r="N386" s="2"/>
      <c r="O386" s="1"/>
      <c r="P386" s="9">
        <v>900.0</v>
      </c>
      <c r="Q386" s="9">
        <v>550.0</v>
      </c>
      <c r="R386" s="10"/>
      <c r="S386" s="4"/>
    </row>
    <row r="387" ht="9.0" customHeight="1">
      <c r="A387" s="4" t="s">
        <v>19</v>
      </c>
      <c r="B387" s="4" t="s">
        <v>568</v>
      </c>
      <c r="C387" s="4" t="s">
        <v>568</v>
      </c>
      <c r="D387" s="1"/>
      <c r="E387" s="4" t="s">
        <v>44</v>
      </c>
      <c r="F387" s="1"/>
      <c r="G387" s="4" t="s">
        <v>585</v>
      </c>
      <c r="H387" s="5"/>
      <c r="I387" s="5"/>
      <c r="J387" s="6"/>
      <c r="K387" s="6"/>
      <c r="L387" s="7"/>
      <c r="M387" s="1"/>
      <c r="N387" s="2"/>
      <c r="O387" s="1"/>
      <c r="P387" s="9">
        <v>1100.0</v>
      </c>
      <c r="Q387" s="9">
        <v>650.0</v>
      </c>
      <c r="R387" s="10"/>
      <c r="S387" s="4"/>
    </row>
    <row r="388" ht="9.0" customHeight="1">
      <c r="A388" s="4" t="s">
        <v>19</v>
      </c>
      <c r="B388" s="4" t="s">
        <v>568</v>
      </c>
      <c r="C388" s="4" t="s">
        <v>568</v>
      </c>
      <c r="D388" s="1"/>
      <c r="E388" s="4" t="s">
        <v>44</v>
      </c>
      <c r="F388" s="1"/>
      <c r="G388" s="4" t="s">
        <v>586</v>
      </c>
      <c r="H388" s="5"/>
      <c r="I388" s="5"/>
      <c r="J388" s="6"/>
      <c r="K388" s="6"/>
      <c r="L388" s="7" t="s">
        <v>23</v>
      </c>
      <c r="M388" s="1"/>
      <c r="N388" s="8">
        <v>0.4</v>
      </c>
      <c r="O388" s="1"/>
      <c r="P388" s="9">
        <v>900.0</v>
      </c>
      <c r="Q388" s="9">
        <v>550.0</v>
      </c>
      <c r="R388" s="10"/>
      <c r="S388" s="11">
        <v>45876.0</v>
      </c>
    </row>
    <row r="389" ht="9.0" customHeight="1">
      <c r="A389" s="4" t="s">
        <v>19</v>
      </c>
      <c r="B389" s="4" t="s">
        <v>587</v>
      </c>
      <c r="C389" s="4" t="s">
        <v>587</v>
      </c>
      <c r="D389" s="1"/>
      <c r="E389" s="4" t="s">
        <v>143</v>
      </c>
      <c r="F389" s="1"/>
      <c r="G389" s="4" t="s">
        <v>588</v>
      </c>
      <c r="H389" s="5"/>
      <c r="I389" s="5"/>
      <c r="J389" s="6"/>
      <c r="K389" s="6"/>
      <c r="L389" s="7"/>
      <c r="M389" s="1"/>
      <c r="N389" s="2"/>
      <c r="O389" s="1"/>
      <c r="P389" s="9">
        <v>2000.0</v>
      </c>
      <c r="Q389" s="9">
        <v>1100.0</v>
      </c>
      <c r="R389" s="10"/>
      <c r="S389" s="4"/>
    </row>
    <row r="390" ht="9.0" customHeight="1">
      <c r="A390" s="4" t="s">
        <v>19</v>
      </c>
      <c r="B390" s="5" t="s">
        <v>589</v>
      </c>
      <c r="C390" s="5" t="s">
        <v>589</v>
      </c>
      <c r="D390" s="1"/>
      <c r="E390" s="4" t="s">
        <v>22</v>
      </c>
      <c r="F390" s="1"/>
      <c r="G390" s="4" t="s">
        <v>590</v>
      </c>
      <c r="H390" s="5"/>
      <c r="I390" s="5"/>
      <c r="J390" s="6"/>
      <c r="K390" s="6"/>
      <c r="L390" s="7"/>
      <c r="M390" s="1"/>
      <c r="N390" s="8">
        <v>0.5</v>
      </c>
      <c r="O390" s="1"/>
      <c r="P390" s="9">
        <v>2400.0</v>
      </c>
      <c r="Q390" s="9">
        <v>1300.0</v>
      </c>
      <c r="R390" s="10"/>
      <c r="S390" s="11">
        <v>45821.0</v>
      </c>
    </row>
    <row r="391" ht="9.0" customHeight="1">
      <c r="A391" s="4" t="s">
        <v>19</v>
      </c>
      <c r="B391" s="5" t="s">
        <v>591</v>
      </c>
      <c r="C391" s="5" t="s">
        <v>591</v>
      </c>
      <c r="D391" s="1"/>
      <c r="E391" s="4" t="s">
        <v>44</v>
      </c>
      <c r="F391" s="1"/>
      <c r="G391" s="4" t="s">
        <v>592</v>
      </c>
      <c r="H391" s="5" t="s">
        <v>75</v>
      </c>
      <c r="I391" s="5"/>
      <c r="J391" s="6"/>
      <c r="K391" s="6"/>
      <c r="L391" s="7"/>
      <c r="M391" s="1"/>
      <c r="N391" s="2"/>
      <c r="O391" s="1"/>
      <c r="P391" s="9">
        <v>1200.0</v>
      </c>
      <c r="Q391" s="9">
        <v>700.0</v>
      </c>
      <c r="R391" s="10"/>
      <c r="S391" s="4"/>
    </row>
    <row r="392" ht="9.0" customHeight="1">
      <c r="A392" s="4" t="s">
        <v>19</v>
      </c>
      <c r="B392" s="5" t="s">
        <v>593</v>
      </c>
      <c r="C392" s="5" t="s">
        <v>593</v>
      </c>
      <c r="D392" s="1"/>
      <c r="E392" s="4" t="s">
        <v>38</v>
      </c>
      <c r="F392" s="1"/>
      <c r="G392" s="4" t="s">
        <v>594</v>
      </c>
      <c r="H392" s="5"/>
      <c r="I392" s="5"/>
      <c r="J392" s="6"/>
      <c r="K392" s="6"/>
      <c r="L392" s="7"/>
      <c r="M392" s="1"/>
      <c r="N392" s="2"/>
      <c r="O392" s="1"/>
      <c r="P392" s="9">
        <v>1400.0</v>
      </c>
      <c r="Q392" s="9">
        <v>800.0</v>
      </c>
      <c r="R392" s="10"/>
      <c r="S392" s="11">
        <v>45402.0</v>
      </c>
    </row>
    <row r="393" ht="9.0" customHeight="1">
      <c r="A393" s="4" t="s">
        <v>19</v>
      </c>
      <c r="B393" s="4" t="s">
        <v>595</v>
      </c>
      <c r="C393" s="4" t="s">
        <v>595</v>
      </c>
      <c r="D393" s="1"/>
      <c r="E393" s="4" t="s">
        <v>44</v>
      </c>
      <c r="F393" s="1"/>
      <c r="G393" s="4" t="s">
        <v>596</v>
      </c>
      <c r="H393" s="5"/>
      <c r="I393" s="5"/>
      <c r="J393" s="6"/>
      <c r="K393" s="6"/>
      <c r="L393" s="7"/>
      <c r="M393" s="1"/>
      <c r="N393" s="2"/>
      <c r="O393" s="1"/>
      <c r="P393" s="9">
        <v>900.0</v>
      </c>
      <c r="Q393" s="9">
        <v>550.0</v>
      </c>
      <c r="R393" s="10"/>
      <c r="S393" s="4"/>
    </row>
    <row r="394" ht="9.0" customHeight="1">
      <c r="A394" s="4" t="s">
        <v>19</v>
      </c>
      <c r="B394" s="4" t="s">
        <v>597</v>
      </c>
      <c r="C394" s="4" t="s">
        <v>597</v>
      </c>
      <c r="D394" s="1"/>
      <c r="E394" s="4" t="s">
        <v>44</v>
      </c>
      <c r="F394" s="1"/>
      <c r="G394" s="4" t="s">
        <v>598</v>
      </c>
      <c r="H394" s="5"/>
      <c r="I394" s="5"/>
      <c r="J394" s="6"/>
      <c r="K394" s="6"/>
      <c r="L394" s="7"/>
      <c r="M394" s="1"/>
      <c r="N394" s="2"/>
      <c r="O394" s="1"/>
      <c r="P394" s="9">
        <v>1000.0</v>
      </c>
      <c r="Q394" s="9">
        <v>600.0</v>
      </c>
      <c r="R394" s="10"/>
      <c r="S394" s="4"/>
    </row>
    <row r="395" ht="9.0" customHeight="1">
      <c r="A395" s="4" t="s">
        <v>19</v>
      </c>
      <c r="B395" s="4" t="s">
        <v>599</v>
      </c>
      <c r="C395" s="4" t="s">
        <v>599</v>
      </c>
      <c r="D395" s="1"/>
      <c r="E395" s="4" t="s">
        <v>44</v>
      </c>
      <c r="F395" s="1"/>
      <c r="G395" s="4" t="s">
        <v>600</v>
      </c>
      <c r="H395" s="5" t="s">
        <v>75</v>
      </c>
      <c r="I395" s="5"/>
      <c r="J395" s="6"/>
      <c r="K395" s="6"/>
      <c r="L395" s="7"/>
      <c r="M395" s="1"/>
      <c r="N395" s="2"/>
      <c r="O395" s="1"/>
      <c r="P395" s="9">
        <v>1100.0</v>
      </c>
      <c r="Q395" s="9">
        <v>650.0</v>
      </c>
      <c r="R395" s="10"/>
      <c r="S395" s="11">
        <v>45745.0</v>
      </c>
    </row>
    <row r="396" ht="9.0" customHeight="1">
      <c r="A396" s="4" t="s">
        <v>19</v>
      </c>
      <c r="B396" s="5" t="s">
        <v>601</v>
      </c>
      <c r="C396" s="5" t="s">
        <v>601</v>
      </c>
      <c r="D396" s="1"/>
      <c r="E396" s="4" t="s">
        <v>44</v>
      </c>
      <c r="F396" s="1"/>
      <c r="G396" s="4" t="s">
        <v>602</v>
      </c>
      <c r="H396" s="5" t="s">
        <v>64</v>
      </c>
      <c r="I396" s="5"/>
      <c r="J396" s="6"/>
      <c r="K396" s="6"/>
      <c r="L396" s="7"/>
      <c r="M396" s="1"/>
      <c r="N396" s="2"/>
      <c r="O396" s="1"/>
      <c r="P396" s="9">
        <v>1400.0</v>
      </c>
      <c r="Q396" s="9">
        <v>800.0</v>
      </c>
      <c r="R396" s="10"/>
      <c r="S396" s="11">
        <v>45742.0</v>
      </c>
    </row>
    <row r="397" ht="9.0" customHeight="1">
      <c r="A397" s="4" t="s">
        <v>19</v>
      </c>
      <c r="B397" s="5" t="s">
        <v>601</v>
      </c>
      <c r="C397" s="5" t="s">
        <v>601</v>
      </c>
      <c r="D397" s="1"/>
      <c r="E397" s="4" t="s">
        <v>44</v>
      </c>
      <c r="F397" s="1"/>
      <c r="G397" s="4" t="s">
        <v>603</v>
      </c>
      <c r="H397" s="5" t="s">
        <v>64</v>
      </c>
      <c r="I397" s="5"/>
      <c r="J397" s="6"/>
      <c r="K397" s="6"/>
      <c r="L397" s="7"/>
      <c r="M397" s="1"/>
      <c r="N397" s="2"/>
      <c r="O397" s="1"/>
      <c r="P397" s="9">
        <v>1400.0</v>
      </c>
      <c r="Q397" s="9">
        <v>800.0</v>
      </c>
      <c r="R397" s="10"/>
      <c r="S397" s="11">
        <v>45751.0</v>
      </c>
    </row>
    <row r="398" ht="9.0" customHeight="1">
      <c r="A398" s="4" t="s">
        <v>19</v>
      </c>
      <c r="B398" s="5" t="s">
        <v>601</v>
      </c>
      <c r="C398" s="5" t="s">
        <v>601</v>
      </c>
      <c r="D398" s="1"/>
      <c r="E398" s="4" t="s">
        <v>44</v>
      </c>
      <c r="F398" s="1"/>
      <c r="G398" s="4" t="s">
        <v>604</v>
      </c>
      <c r="H398" s="5" t="s">
        <v>64</v>
      </c>
      <c r="I398" s="5"/>
      <c r="J398" s="6"/>
      <c r="K398" s="6"/>
      <c r="L398" s="7"/>
      <c r="M398" s="1"/>
      <c r="N398" s="2"/>
      <c r="O398" s="1"/>
      <c r="P398" s="9">
        <v>1400.0</v>
      </c>
      <c r="Q398" s="9">
        <v>800.0</v>
      </c>
      <c r="R398" s="10"/>
      <c r="S398" s="11">
        <v>45744.0</v>
      </c>
    </row>
    <row r="399" ht="9.0" customHeight="1">
      <c r="A399" s="4" t="s">
        <v>19</v>
      </c>
      <c r="B399" s="5" t="s">
        <v>601</v>
      </c>
      <c r="C399" s="5" t="s">
        <v>601</v>
      </c>
      <c r="D399" s="1"/>
      <c r="E399" s="4" t="s">
        <v>44</v>
      </c>
      <c r="F399" s="1"/>
      <c r="G399" s="4" t="s">
        <v>605</v>
      </c>
      <c r="H399" s="5"/>
      <c r="I399" s="5"/>
      <c r="J399" s="6"/>
      <c r="K399" s="6"/>
      <c r="L399" s="7"/>
      <c r="M399" s="1"/>
      <c r="N399" s="2"/>
      <c r="O399" s="1"/>
      <c r="P399" s="9">
        <v>1100.0</v>
      </c>
      <c r="Q399" s="9">
        <v>600.0</v>
      </c>
      <c r="R399" s="10"/>
      <c r="S399" s="4"/>
    </row>
    <row r="400" ht="9.0" customHeight="1">
      <c r="A400" s="4" t="s">
        <v>19</v>
      </c>
      <c r="B400" s="4" t="s">
        <v>606</v>
      </c>
      <c r="C400" s="4" t="s">
        <v>606</v>
      </c>
      <c r="D400" s="1" t="s">
        <v>607</v>
      </c>
      <c r="E400" s="4" t="s">
        <v>41</v>
      </c>
      <c r="F400" s="1"/>
      <c r="G400" s="4" t="s">
        <v>608</v>
      </c>
      <c r="H400" s="5"/>
      <c r="I400" s="5"/>
      <c r="J400" s="6"/>
      <c r="K400" s="6"/>
      <c r="L400" s="7" t="s">
        <v>23</v>
      </c>
      <c r="M400" s="1"/>
      <c r="N400" s="2"/>
      <c r="O400" s="1"/>
      <c r="P400" s="9">
        <v>1000.0</v>
      </c>
      <c r="Q400" s="9">
        <v>600.0</v>
      </c>
      <c r="R400" s="10"/>
      <c r="S400" s="11">
        <v>45642.0</v>
      </c>
    </row>
    <row r="401" ht="9.0" customHeight="1">
      <c r="A401" s="4" t="s">
        <v>19</v>
      </c>
      <c r="B401" s="4" t="s">
        <v>606</v>
      </c>
      <c r="C401" s="4" t="s">
        <v>606</v>
      </c>
      <c r="D401" s="1"/>
      <c r="E401" s="4" t="s">
        <v>44</v>
      </c>
      <c r="F401" s="1"/>
      <c r="G401" s="4" t="s">
        <v>609</v>
      </c>
      <c r="H401" s="5"/>
      <c r="I401" s="5"/>
      <c r="J401" s="6"/>
      <c r="K401" s="6"/>
      <c r="L401" s="7" t="s">
        <v>23</v>
      </c>
      <c r="M401" s="1"/>
      <c r="N401" s="2"/>
      <c r="O401" s="1"/>
      <c r="P401" s="9">
        <v>1000.0</v>
      </c>
      <c r="Q401" s="9">
        <v>600.0</v>
      </c>
      <c r="R401" s="10"/>
      <c r="S401" s="11">
        <v>45645.0</v>
      </c>
    </row>
    <row r="402" ht="9.0" customHeight="1">
      <c r="A402" s="4" t="s">
        <v>19</v>
      </c>
      <c r="B402" s="4" t="s">
        <v>610</v>
      </c>
      <c r="C402" s="4" t="s">
        <v>610</v>
      </c>
      <c r="D402" s="1"/>
      <c r="E402" s="4" t="s">
        <v>38</v>
      </c>
      <c r="F402" s="1"/>
      <c r="G402" s="4" t="s">
        <v>611</v>
      </c>
      <c r="H402" s="5"/>
      <c r="I402" s="5"/>
      <c r="J402" s="6"/>
      <c r="K402" s="6"/>
      <c r="L402" s="7"/>
      <c r="M402" s="1"/>
      <c r="N402" s="2"/>
      <c r="O402" s="1"/>
      <c r="P402" s="9">
        <v>1200.0</v>
      </c>
      <c r="Q402" s="9">
        <v>700.0</v>
      </c>
      <c r="R402" s="10"/>
      <c r="S402" s="4"/>
    </row>
    <row r="403" ht="9.0" customHeight="1">
      <c r="A403" s="4" t="s">
        <v>19</v>
      </c>
      <c r="B403" s="4" t="s">
        <v>612</v>
      </c>
      <c r="C403" s="4" t="s">
        <v>612</v>
      </c>
      <c r="D403" s="1"/>
      <c r="E403" s="4" t="s">
        <v>44</v>
      </c>
      <c r="F403" s="1"/>
      <c r="G403" s="4" t="s">
        <v>613</v>
      </c>
      <c r="H403" s="5" t="s">
        <v>79</v>
      </c>
      <c r="I403" s="5"/>
      <c r="J403" s="6"/>
      <c r="K403" s="6"/>
      <c r="L403" s="7"/>
      <c r="M403" s="1"/>
      <c r="N403" s="2"/>
      <c r="O403" s="1"/>
      <c r="P403" s="9">
        <v>1300.0</v>
      </c>
      <c r="Q403" s="9">
        <v>750.0</v>
      </c>
      <c r="R403" s="10"/>
      <c r="S403" s="11">
        <v>44964.0</v>
      </c>
    </row>
    <row r="404" ht="9.0" customHeight="1">
      <c r="A404" s="4" t="s">
        <v>19</v>
      </c>
      <c r="B404" s="4" t="s">
        <v>612</v>
      </c>
      <c r="C404" s="4" t="s">
        <v>612</v>
      </c>
      <c r="D404" s="1"/>
      <c r="E404" s="4" t="s">
        <v>44</v>
      </c>
      <c r="F404" s="1"/>
      <c r="G404" s="4" t="s">
        <v>614</v>
      </c>
      <c r="H404" s="5" t="s">
        <v>64</v>
      </c>
      <c r="I404" s="5"/>
      <c r="J404" s="6"/>
      <c r="K404" s="6"/>
      <c r="L404" s="7"/>
      <c r="M404" s="1"/>
      <c r="N404" s="2"/>
      <c r="O404" s="1"/>
      <c r="P404" s="9">
        <v>1500.0</v>
      </c>
      <c r="Q404" s="9">
        <v>850.0</v>
      </c>
      <c r="R404" s="10"/>
      <c r="S404" s="11">
        <v>44956.0</v>
      </c>
    </row>
    <row r="405" ht="9.0" customHeight="1">
      <c r="A405" s="4" t="s">
        <v>19</v>
      </c>
      <c r="B405" s="4" t="s">
        <v>615</v>
      </c>
      <c r="C405" s="4" t="s">
        <v>615</v>
      </c>
      <c r="D405" s="1"/>
      <c r="E405" s="4" t="s">
        <v>44</v>
      </c>
      <c r="F405" s="1"/>
      <c r="G405" s="4" t="s">
        <v>616</v>
      </c>
      <c r="H405" s="5" t="s">
        <v>64</v>
      </c>
      <c r="I405" s="5"/>
      <c r="J405" s="6"/>
      <c r="K405" s="6"/>
      <c r="L405" s="7"/>
      <c r="M405" s="1"/>
      <c r="N405" s="2"/>
      <c r="O405" s="1"/>
      <c r="P405" s="9">
        <v>1500.0</v>
      </c>
      <c r="Q405" s="9">
        <v>850.0</v>
      </c>
      <c r="R405" s="10"/>
      <c r="S405" s="11">
        <v>45677.0</v>
      </c>
    </row>
    <row r="406" ht="9.0" customHeight="1">
      <c r="A406" s="4" t="s">
        <v>19</v>
      </c>
      <c r="B406" s="4" t="s">
        <v>615</v>
      </c>
      <c r="C406" s="4" t="s">
        <v>615</v>
      </c>
      <c r="D406" s="1"/>
      <c r="E406" s="4" t="s">
        <v>44</v>
      </c>
      <c r="F406" s="1"/>
      <c r="G406" s="4" t="s">
        <v>617</v>
      </c>
      <c r="H406" s="5" t="s">
        <v>79</v>
      </c>
      <c r="I406" s="5"/>
      <c r="J406" s="6"/>
      <c r="K406" s="6"/>
      <c r="L406" s="7"/>
      <c r="M406" s="1"/>
      <c r="N406" s="2"/>
      <c r="O406" s="1"/>
      <c r="P406" s="9">
        <v>1300.0</v>
      </c>
      <c r="Q406" s="9">
        <v>750.0</v>
      </c>
      <c r="R406" s="10"/>
      <c r="S406" s="4"/>
    </row>
    <row r="407" ht="9.0" customHeight="1">
      <c r="A407" s="4" t="s">
        <v>19</v>
      </c>
      <c r="B407" s="4" t="s">
        <v>615</v>
      </c>
      <c r="C407" s="4" t="s">
        <v>615</v>
      </c>
      <c r="D407" s="1"/>
      <c r="E407" s="4" t="s">
        <v>44</v>
      </c>
      <c r="F407" s="1"/>
      <c r="G407" s="4" t="s">
        <v>618</v>
      </c>
      <c r="H407" s="5" t="s">
        <v>75</v>
      </c>
      <c r="I407" s="5"/>
      <c r="J407" s="6"/>
      <c r="K407" s="6"/>
      <c r="L407" s="7"/>
      <c r="M407" s="1"/>
      <c r="N407" s="2"/>
      <c r="O407" s="1"/>
      <c r="P407" s="9">
        <v>1000.0</v>
      </c>
      <c r="Q407" s="9">
        <v>600.0</v>
      </c>
      <c r="R407" s="10"/>
      <c r="S407" s="4"/>
    </row>
    <row r="408" ht="9.0" customHeight="1">
      <c r="A408" s="4" t="s">
        <v>19</v>
      </c>
      <c r="B408" s="4" t="s">
        <v>619</v>
      </c>
      <c r="C408" s="4" t="s">
        <v>619</v>
      </c>
      <c r="D408" s="1"/>
      <c r="E408" s="4" t="s">
        <v>620</v>
      </c>
      <c r="F408" s="1"/>
      <c r="G408" s="4" t="s">
        <v>621</v>
      </c>
      <c r="H408" s="5"/>
      <c r="I408" s="5"/>
      <c r="J408" s="6"/>
      <c r="K408" s="6"/>
      <c r="L408" s="7"/>
      <c r="M408" s="1"/>
      <c r="N408" s="2"/>
      <c r="O408" s="1"/>
      <c r="P408" s="9">
        <v>2000.0</v>
      </c>
      <c r="Q408" s="9">
        <v>1100.0</v>
      </c>
      <c r="R408" s="10"/>
      <c r="S408" s="4"/>
    </row>
    <row r="409" ht="9.0" customHeight="1">
      <c r="A409" s="4" t="s">
        <v>19</v>
      </c>
      <c r="B409" s="4" t="s">
        <v>619</v>
      </c>
      <c r="C409" s="4" t="s">
        <v>619</v>
      </c>
      <c r="D409" s="1"/>
      <c r="E409" s="4" t="s">
        <v>622</v>
      </c>
      <c r="F409" s="1"/>
      <c r="G409" s="4" t="s">
        <v>623</v>
      </c>
      <c r="H409" s="5"/>
      <c r="I409" s="5"/>
      <c r="J409" s="6"/>
      <c r="K409" s="6"/>
      <c r="L409" s="7"/>
      <c r="M409" s="1"/>
      <c r="N409" s="2"/>
      <c r="O409" s="1"/>
      <c r="P409" s="9">
        <v>1400.0</v>
      </c>
      <c r="Q409" s="9">
        <v>800.0</v>
      </c>
      <c r="R409" s="10"/>
      <c r="S409" s="4"/>
    </row>
    <row r="410" ht="9.0" customHeight="1">
      <c r="A410" s="4" t="s">
        <v>19</v>
      </c>
      <c r="B410" s="4" t="s">
        <v>624</v>
      </c>
      <c r="C410" s="4" t="s">
        <v>624</v>
      </c>
      <c r="D410" s="1"/>
      <c r="E410" s="4" t="s">
        <v>44</v>
      </c>
      <c r="F410" s="1"/>
      <c r="G410" s="4" t="s">
        <v>625</v>
      </c>
      <c r="H410" s="5"/>
      <c r="I410" s="5"/>
      <c r="J410" s="6"/>
      <c r="K410" s="6"/>
      <c r="L410" s="7"/>
      <c r="M410" s="1"/>
      <c r="N410" s="2"/>
      <c r="O410" s="1"/>
      <c r="P410" s="9">
        <v>1000.0</v>
      </c>
      <c r="Q410" s="9">
        <v>600.0</v>
      </c>
      <c r="R410" s="10"/>
      <c r="S410" s="4"/>
    </row>
    <row r="411" ht="9.0" customHeight="1">
      <c r="A411" s="4" t="s">
        <v>19</v>
      </c>
      <c r="B411" s="4" t="s">
        <v>626</v>
      </c>
      <c r="C411" s="4" t="s">
        <v>626</v>
      </c>
      <c r="D411" s="1"/>
      <c r="E411" s="4" t="s">
        <v>38</v>
      </c>
      <c r="F411" s="1"/>
      <c r="G411" s="4" t="s">
        <v>627</v>
      </c>
      <c r="H411" s="5"/>
      <c r="I411" s="5"/>
      <c r="J411" s="6"/>
      <c r="K411" s="6"/>
      <c r="L411" s="7"/>
      <c r="M411" s="1"/>
      <c r="N411" s="2"/>
      <c r="O411" s="1"/>
      <c r="P411" s="9">
        <v>3000.0</v>
      </c>
      <c r="Q411" s="9">
        <v>1600.0</v>
      </c>
      <c r="R411" s="10"/>
      <c r="S411" s="4"/>
    </row>
    <row r="412" ht="9.0" customHeight="1">
      <c r="A412" s="4" t="s">
        <v>19</v>
      </c>
      <c r="B412" s="4" t="s">
        <v>626</v>
      </c>
      <c r="C412" s="4" t="s">
        <v>626</v>
      </c>
      <c r="D412" s="1"/>
      <c r="E412" s="4" t="s">
        <v>38</v>
      </c>
      <c r="F412" s="1"/>
      <c r="G412" s="4" t="s">
        <v>628</v>
      </c>
      <c r="H412" s="5"/>
      <c r="I412" s="5"/>
      <c r="J412" s="6"/>
      <c r="K412" s="6"/>
      <c r="L412" s="7"/>
      <c r="M412" s="1"/>
      <c r="N412" s="2"/>
      <c r="O412" s="1"/>
      <c r="P412" s="9">
        <v>1300.0</v>
      </c>
      <c r="Q412" s="9">
        <v>750.0</v>
      </c>
      <c r="R412" s="10"/>
      <c r="S412" s="4"/>
    </row>
    <row r="413" ht="9.0" customHeight="1">
      <c r="A413" s="4" t="s">
        <v>19</v>
      </c>
      <c r="B413" s="5" t="s">
        <v>629</v>
      </c>
      <c r="C413" s="4" t="s">
        <v>630</v>
      </c>
      <c r="D413" s="1"/>
      <c r="E413" s="4" t="s">
        <v>44</v>
      </c>
      <c r="F413" s="1"/>
      <c r="G413" s="4" t="s">
        <v>631</v>
      </c>
      <c r="H413" s="5"/>
      <c r="I413" s="5"/>
      <c r="J413" s="6"/>
      <c r="K413" s="6"/>
      <c r="L413" s="7"/>
      <c r="M413" s="1"/>
      <c r="N413" s="2"/>
      <c r="O413" s="1"/>
      <c r="P413" s="9">
        <v>900.0</v>
      </c>
      <c r="Q413" s="9">
        <v>550.0</v>
      </c>
      <c r="R413" s="10"/>
      <c r="S413" s="4"/>
    </row>
    <row r="414" ht="9.0" customHeight="1">
      <c r="A414" s="4" t="s">
        <v>632</v>
      </c>
      <c r="B414" s="4"/>
      <c r="C414" s="4" t="s">
        <v>20</v>
      </c>
      <c r="D414" s="1"/>
      <c r="E414" s="4" t="s">
        <v>22</v>
      </c>
      <c r="F414" s="1"/>
      <c r="G414" s="4" t="s">
        <v>633</v>
      </c>
      <c r="H414" s="5"/>
      <c r="I414" s="5"/>
      <c r="J414" s="6"/>
      <c r="K414" s="6"/>
      <c r="L414" s="7" t="s">
        <v>23</v>
      </c>
      <c r="M414" s="1"/>
      <c r="N414" s="2"/>
      <c r="O414" s="1"/>
      <c r="P414" s="9">
        <v>1100.0</v>
      </c>
      <c r="Q414" s="9">
        <v>650.0</v>
      </c>
      <c r="R414" s="10"/>
      <c r="S414" s="4"/>
    </row>
    <row r="415" ht="9.0" customHeight="1">
      <c r="A415" s="4" t="s">
        <v>632</v>
      </c>
      <c r="B415" s="4"/>
      <c r="C415" s="4" t="s">
        <v>20</v>
      </c>
      <c r="D415" s="1"/>
      <c r="E415" s="4" t="s">
        <v>22</v>
      </c>
      <c r="F415" s="1"/>
      <c r="G415" s="4" t="s">
        <v>634</v>
      </c>
      <c r="H415" s="5"/>
      <c r="I415" s="5"/>
      <c r="J415" s="6"/>
      <c r="K415" s="6"/>
      <c r="L415" s="7" t="s">
        <v>23</v>
      </c>
      <c r="M415" s="1"/>
      <c r="N415" s="2"/>
      <c r="O415" s="1"/>
      <c r="P415" s="9">
        <v>1300.0</v>
      </c>
      <c r="Q415" s="9">
        <v>750.0</v>
      </c>
      <c r="R415" s="10"/>
      <c r="S415" s="4"/>
    </row>
    <row r="416" ht="9.0" customHeight="1">
      <c r="A416" s="4" t="s">
        <v>632</v>
      </c>
      <c r="B416" s="4"/>
      <c r="C416" s="4" t="s">
        <v>20</v>
      </c>
      <c r="D416" s="1"/>
      <c r="E416" s="4" t="s">
        <v>22</v>
      </c>
      <c r="F416" s="1"/>
      <c r="G416" s="4" t="s">
        <v>635</v>
      </c>
      <c r="H416" s="5"/>
      <c r="I416" s="5"/>
      <c r="J416" s="6"/>
      <c r="K416" s="6"/>
      <c r="L416" s="7" t="s">
        <v>23</v>
      </c>
      <c r="M416" s="1"/>
      <c r="N416" s="2"/>
      <c r="O416" s="1"/>
      <c r="P416" s="9">
        <v>1300.0</v>
      </c>
      <c r="Q416" s="9">
        <v>750.0</v>
      </c>
      <c r="R416" s="10"/>
      <c r="S416" s="4"/>
    </row>
    <row r="417" ht="9.0" customHeight="1">
      <c r="A417" s="4" t="s">
        <v>632</v>
      </c>
      <c r="B417" s="4"/>
      <c r="C417" s="4" t="s">
        <v>20</v>
      </c>
      <c r="D417" s="1"/>
      <c r="E417" s="4" t="s">
        <v>22</v>
      </c>
      <c r="F417" s="1"/>
      <c r="G417" s="4" t="s">
        <v>636</v>
      </c>
      <c r="H417" s="5"/>
      <c r="I417" s="5"/>
      <c r="J417" s="6"/>
      <c r="K417" s="6"/>
      <c r="L417" s="7"/>
      <c r="M417" s="1"/>
      <c r="N417" s="2"/>
      <c r="O417" s="1"/>
      <c r="P417" s="9">
        <v>1800.0</v>
      </c>
      <c r="Q417" s="9">
        <v>1000.0</v>
      </c>
      <c r="R417" s="10"/>
      <c r="S417" s="4"/>
    </row>
    <row r="418" ht="9.0" customHeight="1">
      <c r="A418" s="4" t="s">
        <v>632</v>
      </c>
      <c r="B418" s="4"/>
      <c r="C418" s="4" t="s">
        <v>20</v>
      </c>
      <c r="D418" s="1"/>
      <c r="E418" s="4" t="s">
        <v>22</v>
      </c>
      <c r="F418" s="1"/>
      <c r="G418" s="4" t="s">
        <v>637</v>
      </c>
      <c r="H418" s="5"/>
      <c r="I418" s="5"/>
      <c r="J418" s="6"/>
      <c r="K418" s="6"/>
      <c r="L418" s="7"/>
      <c r="M418" s="1"/>
      <c r="N418" s="2"/>
      <c r="O418" s="1"/>
      <c r="P418" s="9">
        <v>2000.0</v>
      </c>
      <c r="Q418" s="9">
        <v>1100.0</v>
      </c>
      <c r="R418" s="10"/>
      <c r="S418" s="4"/>
    </row>
    <row r="419" ht="9.0" customHeight="1">
      <c r="A419" s="4" t="s">
        <v>632</v>
      </c>
      <c r="B419" s="4"/>
      <c r="C419" s="4" t="s">
        <v>20</v>
      </c>
      <c r="D419" s="1"/>
      <c r="E419" s="4" t="s">
        <v>22</v>
      </c>
      <c r="F419" s="1"/>
      <c r="G419" s="4" t="s">
        <v>638</v>
      </c>
      <c r="H419" s="5"/>
      <c r="I419" s="5"/>
      <c r="J419" s="6"/>
      <c r="K419" s="6"/>
      <c r="L419" s="7" t="s">
        <v>23</v>
      </c>
      <c r="M419" s="1"/>
      <c r="N419" s="2"/>
      <c r="O419" s="1"/>
      <c r="P419" s="9">
        <v>2200.0</v>
      </c>
      <c r="Q419" s="9">
        <v>1200.0</v>
      </c>
      <c r="R419" s="10"/>
      <c r="S419" s="4"/>
    </row>
    <row r="420" ht="9.0" customHeight="1">
      <c r="A420" s="4" t="s">
        <v>632</v>
      </c>
      <c r="B420" s="4"/>
      <c r="C420" s="4" t="s">
        <v>20</v>
      </c>
      <c r="D420" s="1"/>
      <c r="E420" s="4" t="s">
        <v>22</v>
      </c>
      <c r="F420" s="1"/>
      <c r="G420" s="4" t="s">
        <v>639</v>
      </c>
      <c r="H420" s="5"/>
      <c r="I420" s="5"/>
      <c r="J420" s="6"/>
      <c r="K420" s="6"/>
      <c r="L420" s="7" t="s">
        <v>23</v>
      </c>
      <c r="M420" s="1"/>
      <c r="N420" s="2"/>
      <c r="O420" s="1"/>
      <c r="P420" s="9">
        <v>1400.0</v>
      </c>
      <c r="Q420" s="9">
        <v>800.0</v>
      </c>
      <c r="R420" s="10"/>
      <c r="S420" s="4"/>
    </row>
    <row r="421" ht="9.0" customHeight="1">
      <c r="A421" s="4" t="s">
        <v>632</v>
      </c>
      <c r="B421" s="4"/>
      <c r="C421" s="4" t="s">
        <v>20</v>
      </c>
      <c r="D421" s="1"/>
      <c r="E421" s="4" t="s">
        <v>22</v>
      </c>
      <c r="F421" s="1"/>
      <c r="G421" s="4" t="s">
        <v>640</v>
      </c>
      <c r="H421" s="5"/>
      <c r="I421" s="5"/>
      <c r="J421" s="6"/>
      <c r="K421" s="6"/>
      <c r="L421" s="7"/>
      <c r="M421" s="1"/>
      <c r="N421" s="2"/>
      <c r="O421" s="1"/>
      <c r="P421" s="9">
        <v>1800.0</v>
      </c>
      <c r="Q421" s="9">
        <v>1000.0</v>
      </c>
      <c r="R421" s="10"/>
      <c r="S421" s="4"/>
    </row>
    <row r="422" ht="9.0" customHeight="1">
      <c r="A422" s="4" t="s">
        <v>632</v>
      </c>
      <c r="B422" s="4"/>
      <c r="C422" s="4" t="s">
        <v>20</v>
      </c>
      <c r="D422" s="1"/>
      <c r="E422" s="4" t="s">
        <v>22</v>
      </c>
      <c r="F422" s="1"/>
      <c r="G422" s="4" t="s">
        <v>641</v>
      </c>
      <c r="H422" s="5"/>
      <c r="I422" s="5"/>
      <c r="J422" s="6"/>
      <c r="K422" s="6"/>
      <c r="L422" s="7"/>
      <c r="M422" s="1"/>
      <c r="N422" s="2"/>
      <c r="O422" s="1"/>
      <c r="P422" s="9">
        <v>1500.0</v>
      </c>
      <c r="Q422" s="9">
        <v>850.0</v>
      </c>
      <c r="R422" s="10"/>
      <c r="S422" s="4"/>
    </row>
    <row r="423" ht="9.0" customHeight="1">
      <c r="A423" s="4" t="s">
        <v>632</v>
      </c>
      <c r="B423" s="4"/>
      <c r="C423" s="4" t="s">
        <v>20</v>
      </c>
      <c r="D423" s="1"/>
      <c r="E423" s="4" t="s">
        <v>22</v>
      </c>
      <c r="F423" s="1"/>
      <c r="G423" s="4" t="s">
        <v>642</v>
      </c>
      <c r="H423" s="5"/>
      <c r="I423" s="5"/>
      <c r="J423" s="6"/>
      <c r="K423" s="6"/>
      <c r="L423" s="7"/>
      <c r="M423" s="1"/>
      <c r="N423" s="2"/>
      <c r="O423" s="1"/>
      <c r="P423" s="9">
        <v>1500.0</v>
      </c>
      <c r="Q423" s="9">
        <v>850.0</v>
      </c>
      <c r="R423" s="10"/>
      <c r="S423" s="4"/>
    </row>
    <row r="424" ht="9.0" customHeight="1">
      <c r="A424" s="4" t="s">
        <v>632</v>
      </c>
      <c r="B424" s="4"/>
      <c r="C424" s="4" t="s">
        <v>20</v>
      </c>
      <c r="D424" s="1"/>
      <c r="E424" s="4" t="s">
        <v>22</v>
      </c>
      <c r="F424" s="1"/>
      <c r="G424" s="4" t="s">
        <v>643</v>
      </c>
      <c r="H424" s="5"/>
      <c r="I424" s="5"/>
      <c r="J424" s="6"/>
      <c r="K424" s="6"/>
      <c r="L424" s="7"/>
      <c r="M424" s="1"/>
      <c r="N424" s="2"/>
      <c r="O424" s="1"/>
      <c r="P424" s="9">
        <v>1500.0</v>
      </c>
      <c r="Q424" s="9">
        <v>850.0</v>
      </c>
      <c r="R424" s="10"/>
      <c r="S424" s="4"/>
    </row>
    <row r="425" ht="9.0" customHeight="1">
      <c r="A425" s="4" t="s">
        <v>632</v>
      </c>
      <c r="B425" s="4"/>
      <c r="C425" s="4" t="s">
        <v>644</v>
      </c>
      <c r="D425" s="1"/>
      <c r="E425" s="4" t="s">
        <v>92</v>
      </c>
      <c r="F425" s="1" t="s">
        <v>645</v>
      </c>
      <c r="G425" s="4" t="s">
        <v>646</v>
      </c>
      <c r="H425" s="5"/>
      <c r="I425" s="5"/>
      <c r="J425" s="6"/>
      <c r="K425" s="6"/>
      <c r="L425" s="7"/>
      <c r="M425" s="1"/>
      <c r="N425" s="2"/>
      <c r="O425" s="1"/>
      <c r="P425" s="9">
        <v>2400.0</v>
      </c>
      <c r="Q425" s="9">
        <v>1300.0</v>
      </c>
      <c r="R425" s="10"/>
      <c r="S425" s="4"/>
    </row>
    <row r="426" ht="9.0" customHeight="1">
      <c r="A426" s="4" t="s">
        <v>632</v>
      </c>
      <c r="B426" s="4"/>
      <c r="C426" s="4" t="s">
        <v>647</v>
      </c>
      <c r="D426" s="1"/>
      <c r="E426" s="4" t="s">
        <v>22</v>
      </c>
      <c r="F426" s="1"/>
      <c r="G426" s="4" t="s">
        <v>648</v>
      </c>
      <c r="H426" s="5"/>
      <c r="I426" s="5"/>
      <c r="J426" s="6"/>
      <c r="K426" s="6"/>
      <c r="L426" s="7" t="s">
        <v>23</v>
      </c>
      <c r="M426" s="1"/>
      <c r="N426" s="2"/>
      <c r="O426" s="1"/>
      <c r="P426" s="9">
        <v>1300.0</v>
      </c>
      <c r="Q426" s="9">
        <v>750.0</v>
      </c>
      <c r="R426" s="10"/>
      <c r="S426" s="4"/>
    </row>
    <row r="427" ht="9.0" customHeight="1">
      <c r="A427" s="4" t="s">
        <v>632</v>
      </c>
      <c r="B427" s="4"/>
      <c r="C427" s="4" t="s">
        <v>647</v>
      </c>
      <c r="D427" s="1"/>
      <c r="E427" s="4" t="s">
        <v>22</v>
      </c>
      <c r="F427" s="1"/>
      <c r="G427" s="4" t="s">
        <v>649</v>
      </c>
      <c r="H427" s="5"/>
      <c r="I427" s="5"/>
      <c r="J427" s="6"/>
      <c r="K427" s="6"/>
      <c r="L427" s="7" t="s">
        <v>23</v>
      </c>
      <c r="M427" s="1"/>
      <c r="N427" s="2"/>
      <c r="O427" s="1"/>
      <c r="P427" s="9">
        <v>1800.0</v>
      </c>
      <c r="Q427" s="9">
        <v>1000.0</v>
      </c>
      <c r="R427" s="10"/>
      <c r="S427" s="4"/>
    </row>
    <row r="428" ht="9.0" customHeight="1">
      <c r="A428" s="4" t="s">
        <v>632</v>
      </c>
      <c r="B428" s="4"/>
      <c r="C428" s="4" t="s">
        <v>647</v>
      </c>
      <c r="D428" s="1"/>
      <c r="E428" s="4" t="s">
        <v>22</v>
      </c>
      <c r="F428" s="1"/>
      <c r="G428" s="4" t="s">
        <v>650</v>
      </c>
      <c r="H428" s="5"/>
      <c r="I428" s="5"/>
      <c r="J428" s="6"/>
      <c r="K428" s="6"/>
      <c r="L428" s="7"/>
      <c r="M428" s="1"/>
      <c r="N428" s="2"/>
      <c r="O428" s="1"/>
      <c r="P428" s="9">
        <v>2800.0</v>
      </c>
      <c r="Q428" s="9">
        <v>1500.0</v>
      </c>
      <c r="R428" s="10"/>
      <c r="S428" s="4"/>
    </row>
    <row r="429" ht="9.0" customHeight="1">
      <c r="A429" s="4" t="s">
        <v>632</v>
      </c>
      <c r="B429" s="4"/>
      <c r="C429" s="4" t="s">
        <v>651</v>
      </c>
      <c r="D429" s="1"/>
      <c r="E429" s="4" t="s">
        <v>22</v>
      </c>
      <c r="F429" s="1"/>
      <c r="G429" s="4" t="s">
        <v>652</v>
      </c>
      <c r="H429" s="5"/>
      <c r="I429" s="5"/>
      <c r="J429" s="6"/>
      <c r="K429" s="6"/>
      <c r="L429" s="7" t="s">
        <v>23</v>
      </c>
      <c r="M429" s="1"/>
      <c r="N429" s="2"/>
      <c r="O429" s="1"/>
      <c r="P429" s="9">
        <v>1100.0</v>
      </c>
      <c r="Q429" s="9">
        <v>650.0</v>
      </c>
      <c r="R429" s="10"/>
      <c r="S429" s="4"/>
    </row>
    <row r="430" ht="9.0" customHeight="1">
      <c r="A430" s="4" t="s">
        <v>632</v>
      </c>
      <c r="B430" s="4"/>
      <c r="C430" s="4" t="s">
        <v>653</v>
      </c>
      <c r="D430" s="1"/>
      <c r="E430" s="4" t="s">
        <v>22</v>
      </c>
      <c r="F430" s="1"/>
      <c r="G430" s="4" t="s">
        <v>654</v>
      </c>
      <c r="H430" s="5"/>
      <c r="I430" s="5"/>
      <c r="J430" s="6"/>
      <c r="K430" s="6"/>
      <c r="L430" s="7"/>
      <c r="M430" s="1"/>
      <c r="N430" s="2"/>
      <c r="O430" s="1"/>
      <c r="P430" s="9">
        <v>2200.0</v>
      </c>
      <c r="Q430" s="9">
        <v>1200.0</v>
      </c>
      <c r="R430" s="10"/>
      <c r="S430" s="4"/>
    </row>
    <row r="431" ht="9.0" customHeight="1">
      <c r="A431" s="4" t="s">
        <v>632</v>
      </c>
      <c r="B431" s="4"/>
      <c r="C431" s="4" t="s">
        <v>647</v>
      </c>
      <c r="D431" s="1"/>
      <c r="E431" s="4" t="s">
        <v>22</v>
      </c>
      <c r="F431" s="1"/>
      <c r="G431" s="4" t="s">
        <v>655</v>
      </c>
      <c r="H431" s="5"/>
      <c r="I431" s="5"/>
      <c r="J431" s="6"/>
      <c r="K431" s="6"/>
      <c r="L431" s="7"/>
      <c r="M431" s="1"/>
      <c r="N431" s="2"/>
      <c r="O431" s="1"/>
      <c r="P431" s="9">
        <v>1100.0</v>
      </c>
      <c r="Q431" s="9">
        <v>650.0</v>
      </c>
      <c r="R431" s="10"/>
      <c r="S431" s="4"/>
    </row>
    <row r="432" ht="9.0" customHeight="1">
      <c r="A432" s="4" t="s">
        <v>632</v>
      </c>
      <c r="B432" s="4"/>
      <c r="C432" s="4" t="s">
        <v>647</v>
      </c>
      <c r="D432" s="1"/>
      <c r="E432" s="4" t="s">
        <v>22</v>
      </c>
      <c r="F432" s="1"/>
      <c r="G432" s="4" t="s">
        <v>656</v>
      </c>
      <c r="H432" s="5"/>
      <c r="I432" s="5"/>
      <c r="J432" s="6"/>
      <c r="K432" s="6"/>
      <c r="L432" s="7"/>
      <c r="M432" s="1"/>
      <c r="N432" s="2"/>
      <c r="O432" s="1"/>
      <c r="P432" s="9">
        <v>1300.0</v>
      </c>
      <c r="Q432" s="9">
        <v>750.0</v>
      </c>
      <c r="R432" s="10"/>
      <c r="S432" s="4"/>
    </row>
    <row r="433" ht="9.0" customHeight="1">
      <c r="A433" s="4" t="s">
        <v>632</v>
      </c>
      <c r="B433" s="4"/>
      <c r="C433" s="5" t="s">
        <v>657</v>
      </c>
      <c r="D433" s="1"/>
      <c r="E433" s="4" t="s">
        <v>22</v>
      </c>
      <c r="F433" s="1"/>
      <c r="G433" s="4" t="s">
        <v>658</v>
      </c>
      <c r="H433" s="5"/>
      <c r="I433" s="5"/>
      <c r="J433" s="6"/>
      <c r="K433" s="6"/>
      <c r="L433" s="7" t="s">
        <v>23</v>
      </c>
      <c r="M433" s="1"/>
      <c r="N433" s="2"/>
      <c r="O433" s="1"/>
      <c r="P433" s="9">
        <v>1300.0</v>
      </c>
      <c r="Q433" s="9">
        <v>750.0</v>
      </c>
      <c r="R433" s="10"/>
      <c r="S433" s="4"/>
    </row>
    <row r="434" ht="9.0" customHeight="1">
      <c r="A434" s="4" t="s">
        <v>632</v>
      </c>
      <c r="B434" s="4"/>
      <c r="C434" s="5" t="s">
        <v>657</v>
      </c>
      <c r="D434" s="1"/>
      <c r="E434" s="4" t="s">
        <v>22</v>
      </c>
      <c r="F434" s="1"/>
      <c r="G434" s="4" t="s">
        <v>659</v>
      </c>
      <c r="H434" s="5"/>
      <c r="I434" s="5"/>
      <c r="J434" s="6"/>
      <c r="K434" s="6"/>
      <c r="L434" s="7"/>
      <c r="M434" s="1"/>
      <c r="N434" s="2"/>
      <c r="O434" s="1"/>
      <c r="P434" s="9">
        <v>1400.0</v>
      </c>
      <c r="Q434" s="9">
        <v>800.0</v>
      </c>
      <c r="R434" s="10"/>
      <c r="S434" s="4"/>
    </row>
    <row r="435" ht="9.0" customHeight="1">
      <c r="A435" s="4" t="s">
        <v>632</v>
      </c>
      <c r="B435" s="12" t="s">
        <v>660</v>
      </c>
      <c r="C435" s="4"/>
      <c r="D435" s="1"/>
      <c r="E435" s="4" t="s">
        <v>22</v>
      </c>
      <c r="F435" s="1"/>
      <c r="G435" s="4" t="s">
        <v>661</v>
      </c>
      <c r="H435" s="5"/>
      <c r="I435" s="5"/>
      <c r="J435" s="6"/>
      <c r="K435" s="6"/>
      <c r="L435" s="7"/>
      <c r="M435" s="1"/>
      <c r="N435" s="2"/>
      <c r="O435" s="1"/>
      <c r="P435" s="9">
        <v>1600.0</v>
      </c>
      <c r="Q435" s="9">
        <v>900.0</v>
      </c>
      <c r="R435" s="10"/>
      <c r="S435" s="4"/>
    </row>
    <row r="436" ht="9.0" customHeight="1">
      <c r="A436" s="4" t="s">
        <v>632</v>
      </c>
      <c r="B436" s="12" t="s">
        <v>660</v>
      </c>
      <c r="C436" s="4"/>
      <c r="D436" s="1"/>
      <c r="E436" s="4" t="s">
        <v>22</v>
      </c>
      <c r="F436" s="1"/>
      <c r="G436" s="4" t="s">
        <v>662</v>
      </c>
      <c r="H436" s="5"/>
      <c r="I436" s="5"/>
      <c r="J436" s="6"/>
      <c r="K436" s="6"/>
      <c r="L436" s="7"/>
      <c r="M436" s="1"/>
      <c r="N436" s="2"/>
      <c r="O436" s="1"/>
      <c r="P436" s="9">
        <v>1600.0</v>
      </c>
      <c r="Q436" s="9">
        <v>900.0</v>
      </c>
      <c r="R436" s="10"/>
      <c r="S436" s="4"/>
    </row>
    <row r="437" ht="9.0" customHeight="1">
      <c r="A437" s="4" t="s">
        <v>632</v>
      </c>
      <c r="B437" s="4" t="s">
        <v>663</v>
      </c>
      <c r="C437" s="4"/>
      <c r="D437" s="1"/>
      <c r="E437" s="4" t="s">
        <v>22</v>
      </c>
      <c r="F437" s="1"/>
      <c r="G437" s="4" t="s">
        <v>664</v>
      </c>
      <c r="H437" s="5"/>
      <c r="I437" s="5"/>
      <c r="J437" s="6"/>
      <c r="K437" s="6"/>
      <c r="L437" s="7"/>
      <c r="M437" s="1"/>
      <c r="N437" s="2"/>
      <c r="O437" s="1"/>
      <c r="P437" s="9">
        <v>1800.0</v>
      </c>
      <c r="Q437" s="9">
        <v>1000.0</v>
      </c>
      <c r="R437" s="10"/>
      <c r="S437" s="4"/>
    </row>
    <row r="438" ht="9.0" customHeight="1">
      <c r="A438" s="4" t="s">
        <v>632</v>
      </c>
      <c r="B438" s="4"/>
      <c r="C438" s="4" t="s">
        <v>647</v>
      </c>
      <c r="D438" s="1"/>
      <c r="E438" s="4" t="s">
        <v>22</v>
      </c>
      <c r="F438" s="1"/>
      <c r="G438" s="4" t="s">
        <v>665</v>
      </c>
      <c r="H438" s="5"/>
      <c r="I438" s="5"/>
      <c r="J438" s="6"/>
      <c r="K438" s="6"/>
      <c r="L438" s="7" t="s">
        <v>23</v>
      </c>
      <c r="M438" s="1"/>
      <c r="N438" s="2"/>
      <c r="O438" s="1"/>
      <c r="P438" s="9">
        <v>2400.0</v>
      </c>
      <c r="Q438" s="9">
        <v>1300.0</v>
      </c>
      <c r="R438" s="10"/>
      <c r="S438" s="4"/>
    </row>
    <row r="439" ht="9.0" customHeight="1">
      <c r="A439" s="4" t="s">
        <v>632</v>
      </c>
      <c r="B439" s="4"/>
      <c r="C439" s="12" t="s">
        <v>666</v>
      </c>
      <c r="D439" s="1"/>
      <c r="E439" s="4" t="s">
        <v>38</v>
      </c>
      <c r="F439" s="1"/>
      <c r="G439" s="4" t="s">
        <v>667</v>
      </c>
      <c r="H439" s="5"/>
      <c r="I439" s="5"/>
      <c r="J439" s="6"/>
      <c r="K439" s="6"/>
      <c r="L439" s="7"/>
      <c r="M439" s="1"/>
      <c r="N439" s="2"/>
      <c r="O439" s="1"/>
      <c r="P439" s="9">
        <v>2000.0</v>
      </c>
      <c r="Q439" s="9">
        <v>1100.0</v>
      </c>
      <c r="R439" s="10"/>
      <c r="S439" s="4"/>
    </row>
    <row r="440" ht="9.0" customHeight="1">
      <c r="A440" s="4" t="s">
        <v>632</v>
      </c>
      <c r="B440" s="4"/>
      <c r="C440" s="5" t="s">
        <v>668</v>
      </c>
      <c r="D440" s="1"/>
      <c r="E440" s="4" t="s">
        <v>38</v>
      </c>
      <c r="F440" s="1"/>
      <c r="G440" s="4" t="s">
        <v>669</v>
      </c>
      <c r="H440" s="5"/>
      <c r="I440" s="5"/>
      <c r="J440" s="6"/>
      <c r="K440" s="6"/>
      <c r="L440" s="7" t="s">
        <v>23</v>
      </c>
      <c r="M440" s="1"/>
      <c r="N440" s="2"/>
      <c r="O440" s="1"/>
      <c r="P440" s="9">
        <v>1300.0</v>
      </c>
      <c r="Q440" s="9">
        <v>750.0</v>
      </c>
      <c r="R440" s="10"/>
      <c r="S440" s="4"/>
    </row>
    <row r="441" ht="9.0" customHeight="1">
      <c r="A441" s="4" t="s">
        <v>632</v>
      </c>
      <c r="B441" s="4"/>
      <c r="C441" s="5" t="s">
        <v>668</v>
      </c>
      <c r="D441" s="1"/>
      <c r="E441" s="4" t="s">
        <v>38</v>
      </c>
      <c r="F441" s="1"/>
      <c r="G441" s="4" t="s">
        <v>670</v>
      </c>
      <c r="H441" s="5"/>
      <c r="I441" s="5"/>
      <c r="J441" s="6"/>
      <c r="K441" s="6"/>
      <c r="L441" s="7"/>
      <c r="M441" s="1"/>
      <c r="N441" s="2"/>
      <c r="O441" s="1"/>
      <c r="P441" s="9">
        <v>2400.0</v>
      </c>
      <c r="Q441" s="9">
        <v>1300.0</v>
      </c>
      <c r="R441" s="10"/>
      <c r="S441" s="11">
        <v>45651.0</v>
      </c>
    </row>
    <row r="442" ht="9.0" customHeight="1">
      <c r="A442" s="4" t="s">
        <v>632</v>
      </c>
      <c r="B442" s="4"/>
      <c r="C442" s="5" t="s">
        <v>668</v>
      </c>
      <c r="D442" s="1"/>
      <c r="E442" s="4" t="s">
        <v>38</v>
      </c>
      <c r="F442" s="1"/>
      <c r="G442" s="4" t="s">
        <v>671</v>
      </c>
      <c r="H442" s="5"/>
      <c r="I442" s="5"/>
      <c r="J442" s="6"/>
      <c r="K442" s="6"/>
      <c r="L442" s="7"/>
      <c r="M442" s="1"/>
      <c r="N442" s="2"/>
      <c r="O442" s="1"/>
      <c r="P442" s="9">
        <v>2400.0</v>
      </c>
      <c r="Q442" s="9">
        <v>1300.0</v>
      </c>
      <c r="R442" s="10"/>
      <c r="S442" s="4"/>
    </row>
    <row r="443" ht="9.0" customHeight="1">
      <c r="A443" s="4" t="s">
        <v>632</v>
      </c>
      <c r="B443" s="4"/>
      <c r="C443" s="4"/>
      <c r="D443" s="1"/>
      <c r="E443" s="4" t="s">
        <v>38</v>
      </c>
      <c r="F443" s="1"/>
      <c r="G443" s="4" t="s">
        <v>672</v>
      </c>
      <c r="H443" s="5"/>
      <c r="I443" s="5"/>
      <c r="J443" s="6"/>
      <c r="K443" s="6"/>
      <c r="L443" s="7"/>
      <c r="M443" s="1"/>
      <c r="N443" s="2"/>
      <c r="O443" s="1"/>
      <c r="P443" s="9">
        <v>1500.0</v>
      </c>
      <c r="Q443" s="9">
        <v>850.0</v>
      </c>
      <c r="R443" s="10"/>
      <c r="S443" s="4"/>
    </row>
    <row r="444" ht="9.0" customHeight="1">
      <c r="A444" s="4" t="s">
        <v>632</v>
      </c>
      <c r="B444" s="4"/>
      <c r="C444" s="4" t="s">
        <v>20</v>
      </c>
      <c r="D444" s="1"/>
      <c r="E444" s="4" t="s">
        <v>44</v>
      </c>
      <c r="F444" s="1"/>
      <c r="G444" s="4" t="s">
        <v>673</v>
      </c>
      <c r="H444" s="5"/>
      <c r="I444" s="5"/>
      <c r="J444" s="6"/>
      <c r="K444" s="6"/>
      <c r="L444" s="7" t="s">
        <v>23</v>
      </c>
      <c r="M444" s="1"/>
      <c r="N444" s="2"/>
      <c r="O444" s="1"/>
      <c r="P444" s="9">
        <v>900.0</v>
      </c>
      <c r="Q444" s="9">
        <v>550.0</v>
      </c>
      <c r="R444" s="10"/>
      <c r="S444" s="4"/>
    </row>
    <row r="445" ht="9.0" customHeight="1">
      <c r="A445" s="4" t="s">
        <v>632</v>
      </c>
      <c r="B445" s="4"/>
      <c r="C445" s="4" t="s">
        <v>20</v>
      </c>
      <c r="D445" s="1"/>
      <c r="E445" s="4" t="s">
        <v>44</v>
      </c>
      <c r="F445" s="1"/>
      <c r="G445" s="4" t="s">
        <v>674</v>
      </c>
      <c r="H445" s="5"/>
      <c r="I445" s="5"/>
      <c r="J445" s="6"/>
      <c r="K445" s="6"/>
      <c r="L445" s="7"/>
      <c r="M445" s="1"/>
      <c r="N445" s="2"/>
      <c r="O445" s="1"/>
      <c r="P445" s="9">
        <v>1100.0</v>
      </c>
      <c r="Q445" s="9">
        <v>650.0</v>
      </c>
      <c r="R445" s="10"/>
      <c r="S445" s="4"/>
    </row>
    <row r="446" ht="9.0" customHeight="1">
      <c r="A446" s="4" t="s">
        <v>632</v>
      </c>
      <c r="B446" s="4"/>
      <c r="C446" s="4" t="s">
        <v>20</v>
      </c>
      <c r="D446" s="1"/>
      <c r="E446" s="4" t="s">
        <v>44</v>
      </c>
      <c r="F446" s="1"/>
      <c r="G446" s="4" t="s">
        <v>675</v>
      </c>
      <c r="H446" s="5"/>
      <c r="I446" s="5"/>
      <c r="J446" s="6"/>
      <c r="K446" s="6"/>
      <c r="L446" s="7"/>
      <c r="M446" s="1"/>
      <c r="N446" s="2"/>
      <c r="O446" s="1"/>
      <c r="P446" s="9">
        <v>1300.0</v>
      </c>
      <c r="Q446" s="9">
        <v>750.0</v>
      </c>
      <c r="R446" s="10"/>
      <c r="S446" s="11">
        <v>45650.0</v>
      </c>
    </row>
    <row r="447" ht="9.0" customHeight="1">
      <c r="A447" s="4" t="s">
        <v>632</v>
      </c>
      <c r="B447" s="4"/>
      <c r="C447" s="4" t="s">
        <v>20</v>
      </c>
      <c r="D447" s="1"/>
      <c r="E447" s="4" t="s">
        <v>44</v>
      </c>
      <c r="F447" s="1"/>
      <c r="G447" s="4" t="s">
        <v>676</v>
      </c>
      <c r="H447" s="5"/>
      <c r="I447" s="5"/>
      <c r="J447" s="6"/>
      <c r="K447" s="6"/>
      <c r="L447" s="7"/>
      <c r="M447" s="1"/>
      <c r="N447" s="2"/>
      <c r="O447" s="1"/>
      <c r="P447" s="9">
        <v>1800.0</v>
      </c>
      <c r="Q447" s="9">
        <v>1000.0</v>
      </c>
      <c r="R447" s="10"/>
      <c r="S447" s="4"/>
    </row>
    <row r="448" ht="9.0" customHeight="1">
      <c r="A448" s="4" t="s">
        <v>632</v>
      </c>
      <c r="B448" s="4"/>
      <c r="C448" s="4" t="s">
        <v>20</v>
      </c>
      <c r="D448" s="1"/>
      <c r="E448" s="4" t="s">
        <v>44</v>
      </c>
      <c r="F448" s="1"/>
      <c r="G448" s="4" t="s">
        <v>677</v>
      </c>
      <c r="H448" s="5"/>
      <c r="I448" s="5"/>
      <c r="J448" s="6"/>
      <c r="K448" s="6"/>
      <c r="L448" s="7"/>
      <c r="M448" s="1"/>
      <c r="N448" s="2"/>
      <c r="O448" s="1"/>
      <c r="P448" s="9">
        <v>1800.0</v>
      </c>
      <c r="Q448" s="9">
        <v>1000.0</v>
      </c>
      <c r="R448" s="10"/>
      <c r="S448" s="4"/>
    </row>
    <row r="449" ht="9.0" customHeight="1">
      <c r="A449" s="4" t="s">
        <v>632</v>
      </c>
      <c r="B449" s="4"/>
      <c r="C449" s="4" t="s">
        <v>20</v>
      </c>
      <c r="D449" s="1"/>
      <c r="E449" s="4" t="s">
        <v>44</v>
      </c>
      <c r="F449" s="1"/>
      <c r="G449" s="4" t="s">
        <v>678</v>
      </c>
      <c r="H449" s="5"/>
      <c r="I449" s="5"/>
      <c r="J449" s="6"/>
      <c r="K449" s="6"/>
      <c r="L449" s="7"/>
      <c r="M449" s="1"/>
      <c r="N449" s="2"/>
      <c r="O449" s="1"/>
      <c r="P449" s="9">
        <v>1800.0</v>
      </c>
      <c r="Q449" s="9">
        <v>1000.0</v>
      </c>
      <c r="R449" s="10"/>
      <c r="S449" s="4"/>
    </row>
    <row r="450" ht="9.0" customHeight="1">
      <c r="A450" s="4" t="s">
        <v>632</v>
      </c>
      <c r="B450" s="4"/>
      <c r="C450" s="5" t="s">
        <v>657</v>
      </c>
      <c r="D450" s="1"/>
      <c r="E450" s="4" t="s">
        <v>44</v>
      </c>
      <c r="F450" s="1"/>
      <c r="G450" s="4" t="s">
        <v>679</v>
      </c>
      <c r="H450" s="5"/>
      <c r="I450" s="5"/>
      <c r="J450" s="6"/>
      <c r="K450" s="6"/>
      <c r="L450" s="7" t="s">
        <v>23</v>
      </c>
      <c r="M450" s="1"/>
      <c r="N450" s="2"/>
      <c r="O450" s="1"/>
      <c r="P450" s="9">
        <v>900.0</v>
      </c>
      <c r="Q450" s="9">
        <v>550.0</v>
      </c>
      <c r="R450" s="10"/>
      <c r="S450" s="4"/>
    </row>
    <row r="451" ht="9.0" customHeight="1">
      <c r="A451" s="4" t="s">
        <v>632</v>
      </c>
      <c r="B451" s="4"/>
      <c r="C451" s="5" t="s">
        <v>657</v>
      </c>
      <c r="D451" s="1"/>
      <c r="E451" s="4" t="s">
        <v>44</v>
      </c>
      <c r="F451" s="1"/>
      <c r="G451" s="4" t="s">
        <v>680</v>
      </c>
      <c r="H451" s="5"/>
      <c r="I451" s="5"/>
      <c r="J451" s="6"/>
      <c r="K451" s="6"/>
      <c r="L451" s="7" t="s">
        <v>23</v>
      </c>
      <c r="M451" s="1"/>
      <c r="N451" s="2"/>
      <c r="O451" s="1"/>
      <c r="P451" s="9">
        <v>1000.0</v>
      </c>
      <c r="Q451" s="9">
        <v>600.0</v>
      </c>
      <c r="R451" s="10"/>
      <c r="S451" s="4"/>
    </row>
    <row r="452" ht="9.0" customHeight="1">
      <c r="A452" s="4" t="s">
        <v>681</v>
      </c>
      <c r="B452" s="4"/>
      <c r="C452" s="4" t="s">
        <v>187</v>
      </c>
      <c r="D452" s="1"/>
      <c r="E452" s="4" t="s">
        <v>682</v>
      </c>
      <c r="F452" s="1"/>
      <c r="G452" s="4" t="s">
        <v>683</v>
      </c>
      <c r="H452" s="5"/>
      <c r="I452" s="5"/>
      <c r="J452" s="6"/>
      <c r="K452" s="6"/>
      <c r="L452" s="7" t="s">
        <v>23</v>
      </c>
      <c r="M452" s="1"/>
      <c r="N452" s="2"/>
      <c r="O452" s="1"/>
      <c r="P452" s="9">
        <v>1000.0</v>
      </c>
      <c r="Q452" s="9">
        <v>600.0</v>
      </c>
      <c r="R452" s="10"/>
      <c r="S452" s="4"/>
    </row>
    <row r="453" ht="9.0" customHeight="1">
      <c r="A453" s="4" t="s">
        <v>681</v>
      </c>
      <c r="B453" s="4"/>
      <c r="C453" s="4" t="s">
        <v>187</v>
      </c>
      <c r="D453" s="1"/>
      <c r="E453" s="4" t="s">
        <v>682</v>
      </c>
      <c r="F453" s="1"/>
      <c r="G453" s="4" t="s">
        <v>684</v>
      </c>
      <c r="H453" s="5"/>
      <c r="I453" s="5"/>
      <c r="J453" s="6"/>
      <c r="K453" s="6"/>
      <c r="L453" s="7" t="s">
        <v>23</v>
      </c>
      <c r="M453" s="1"/>
      <c r="N453" s="2"/>
      <c r="O453" s="1"/>
      <c r="P453" s="9">
        <v>1600.0</v>
      </c>
      <c r="Q453" s="9">
        <v>900.0</v>
      </c>
      <c r="R453" s="10"/>
      <c r="S453" s="4"/>
    </row>
    <row r="454" ht="9.0" customHeight="1">
      <c r="A454" s="4" t="s">
        <v>681</v>
      </c>
      <c r="B454" s="4"/>
      <c r="C454" s="4" t="s">
        <v>20</v>
      </c>
      <c r="D454" s="1"/>
      <c r="E454" s="4" t="s">
        <v>682</v>
      </c>
      <c r="F454" s="1"/>
      <c r="G454" s="4" t="s">
        <v>685</v>
      </c>
      <c r="H454" s="5"/>
      <c r="I454" s="5"/>
      <c r="J454" s="6"/>
      <c r="K454" s="6"/>
      <c r="L454" s="7" t="s">
        <v>23</v>
      </c>
      <c r="M454" s="1"/>
      <c r="N454" s="2"/>
      <c r="O454" s="1"/>
      <c r="P454" s="9">
        <v>900.0</v>
      </c>
      <c r="Q454" s="9">
        <v>550.0</v>
      </c>
      <c r="R454" s="10"/>
      <c r="S454" s="4"/>
    </row>
    <row r="455" ht="9.0" customHeight="1">
      <c r="A455" s="4" t="s">
        <v>681</v>
      </c>
      <c r="B455" s="4" t="s">
        <v>686</v>
      </c>
      <c r="C455" s="4"/>
      <c r="D455" s="1"/>
      <c r="E455" s="4" t="s">
        <v>687</v>
      </c>
      <c r="F455" s="1"/>
      <c r="G455" s="4" t="s">
        <v>688</v>
      </c>
      <c r="H455" s="5"/>
      <c r="I455" s="5"/>
      <c r="J455" s="6"/>
      <c r="K455" s="6"/>
      <c r="L455" s="7" t="s">
        <v>23</v>
      </c>
      <c r="M455" s="1"/>
      <c r="N455" s="2"/>
      <c r="O455" s="1"/>
      <c r="P455" s="9">
        <v>900.0</v>
      </c>
      <c r="Q455" s="9">
        <v>550.0</v>
      </c>
      <c r="R455" s="10"/>
      <c r="S455" s="4"/>
    </row>
    <row r="456" ht="9.0" customHeight="1">
      <c r="A456" s="4" t="s">
        <v>681</v>
      </c>
      <c r="B456" s="5" t="s">
        <v>689</v>
      </c>
      <c r="C456" s="4"/>
      <c r="D456" s="1"/>
      <c r="E456" s="4" t="s">
        <v>690</v>
      </c>
      <c r="F456" s="1"/>
      <c r="G456" s="4" t="s">
        <v>689</v>
      </c>
      <c r="H456" s="5"/>
      <c r="I456" s="5"/>
      <c r="J456" s="6"/>
      <c r="K456" s="6"/>
      <c r="L456" s="7" t="s">
        <v>23</v>
      </c>
      <c r="M456" s="1"/>
      <c r="N456" s="2"/>
      <c r="O456" s="1"/>
      <c r="P456" s="9">
        <v>900.0</v>
      </c>
      <c r="Q456" s="9">
        <v>550.0</v>
      </c>
      <c r="R456" s="10"/>
      <c r="S456" s="4"/>
    </row>
    <row r="457" ht="9.0" customHeight="1">
      <c r="A457" s="4" t="s">
        <v>681</v>
      </c>
      <c r="B457" s="4" t="s">
        <v>691</v>
      </c>
      <c r="C457" s="4"/>
      <c r="D457" s="1"/>
      <c r="E457" s="4" t="s">
        <v>682</v>
      </c>
      <c r="F457" s="1"/>
      <c r="G457" s="4" t="s">
        <v>692</v>
      </c>
      <c r="H457" s="5"/>
      <c r="I457" s="5"/>
      <c r="J457" s="6"/>
      <c r="K457" s="6"/>
      <c r="L457" s="7" t="s">
        <v>23</v>
      </c>
      <c r="M457" s="1"/>
      <c r="N457" s="2"/>
      <c r="O457" s="1"/>
      <c r="P457" s="9">
        <v>1900.0</v>
      </c>
      <c r="Q457" s="9">
        <v>1050.0</v>
      </c>
      <c r="R457" s="10"/>
      <c r="S457" s="4"/>
    </row>
    <row r="458" ht="9.0" customHeight="1">
      <c r="A458" s="4" t="s">
        <v>681</v>
      </c>
      <c r="B458" s="4"/>
      <c r="C458" s="4"/>
      <c r="D458" s="1"/>
      <c r="E458" s="4" t="s">
        <v>682</v>
      </c>
      <c r="F458" s="1"/>
      <c r="G458" s="4" t="s">
        <v>693</v>
      </c>
      <c r="H458" s="5"/>
      <c r="I458" s="5"/>
      <c r="J458" s="6"/>
      <c r="K458" s="6"/>
      <c r="L458" s="7"/>
      <c r="M458" s="1"/>
      <c r="N458" s="2"/>
      <c r="O458" s="1"/>
      <c r="P458" s="9">
        <v>1600.0</v>
      </c>
      <c r="Q458" s="9">
        <v>900.0</v>
      </c>
      <c r="R458" s="10"/>
      <c r="S458" s="4"/>
    </row>
    <row r="459" ht="9.0" customHeight="1">
      <c r="A459" s="4" t="s">
        <v>681</v>
      </c>
      <c r="B459" s="12" t="s">
        <v>694</v>
      </c>
      <c r="C459" s="4"/>
      <c r="D459" s="1"/>
      <c r="E459" s="4" t="s">
        <v>682</v>
      </c>
      <c r="F459" s="1"/>
      <c r="G459" s="4" t="s">
        <v>695</v>
      </c>
      <c r="H459" s="5"/>
      <c r="I459" s="5"/>
      <c r="J459" s="6"/>
      <c r="K459" s="6"/>
      <c r="L459" s="7" t="s">
        <v>23</v>
      </c>
      <c r="M459" s="1"/>
      <c r="N459" s="2"/>
      <c r="O459" s="1"/>
      <c r="P459" s="9">
        <v>900.0</v>
      </c>
      <c r="Q459" s="9">
        <v>550.0</v>
      </c>
      <c r="R459" s="10"/>
      <c r="S459" s="4"/>
    </row>
    <row r="460" ht="9.0" customHeight="1">
      <c r="A460" s="4" t="s">
        <v>681</v>
      </c>
      <c r="B460" s="4" t="s">
        <v>696</v>
      </c>
      <c r="C460" s="4"/>
      <c r="D460" s="1"/>
      <c r="E460" s="4" t="s">
        <v>697</v>
      </c>
      <c r="F460" s="1"/>
      <c r="G460" s="4" t="s">
        <v>698</v>
      </c>
      <c r="H460" s="5"/>
      <c r="I460" s="5"/>
      <c r="J460" s="6"/>
      <c r="K460" s="6"/>
      <c r="L460" s="7" t="s">
        <v>23</v>
      </c>
      <c r="M460" s="1"/>
      <c r="N460" s="2"/>
      <c r="O460" s="1"/>
      <c r="P460" s="9">
        <v>900.0</v>
      </c>
      <c r="Q460" s="9">
        <v>550.0</v>
      </c>
      <c r="R460" s="10"/>
      <c r="S460" s="4"/>
    </row>
    <row r="461" ht="9.0" customHeight="1">
      <c r="A461" s="4" t="s">
        <v>699</v>
      </c>
      <c r="B461" s="4"/>
      <c r="C461" s="4" t="s">
        <v>20</v>
      </c>
      <c r="D461" s="1"/>
      <c r="E461" s="4" t="s">
        <v>44</v>
      </c>
      <c r="F461" s="1"/>
      <c r="G461" s="4" t="s">
        <v>700</v>
      </c>
      <c r="H461" s="5"/>
      <c r="I461" s="5"/>
      <c r="J461" s="6"/>
      <c r="K461" s="6"/>
      <c r="L461" s="7" t="s">
        <v>23</v>
      </c>
      <c r="M461" s="1"/>
      <c r="N461" s="2"/>
      <c r="O461" s="1"/>
      <c r="P461" s="9">
        <v>900.0</v>
      </c>
      <c r="Q461" s="9">
        <v>550.0</v>
      </c>
      <c r="R461" s="10"/>
      <c r="S461" s="4"/>
    </row>
    <row r="462" ht="9.0" customHeight="1">
      <c r="A462" s="4" t="s">
        <v>699</v>
      </c>
      <c r="B462" s="4"/>
      <c r="C462" s="4" t="s">
        <v>20</v>
      </c>
      <c r="D462" s="1"/>
      <c r="E462" s="4" t="s">
        <v>44</v>
      </c>
      <c r="F462" s="1"/>
      <c r="G462" s="4" t="s">
        <v>701</v>
      </c>
      <c r="H462" s="5"/>
      <c r="I462" s="5"/>
      <c r="J462" s="6"/>
      <c r="K462" s="6"/>
      <c r="L462" s="7" t="s">
        <v>23</v>
      </c>
      <c r="M462" s="1"/>
      <c r="N462" s="2"/>
      <c r="O462" s="1"/>
      <c r="P462" s="9">
        <v>1000.0</v>
      </c>
      <c r="Q462" s="9">
        <v>600.0</v>
      </c>
      <c r="R462" s="10"/>
      <c r="S462" s="4"/>
    </row>
    <row r="463" ht="9.0" customHeight="1">
      <c r="A463" s="4" t="s">
        <v>699</v>
      </c>
      <c r="B463" s="5" t="s">
        <v>702</v>
      </c>
      <c r="C463" s="4"/>
      <c r="D463" s="1"/>
      <c r="E463" s="4" t="s">
        <v>697</v>
      </c>
      <c r="F463" s="1"/>
      <c r="G463" s="4" t="s">
        <v>703</v>
      </c>
      <c r="H463" s="5" t="s">
        <v>75</v>
      </c>
      <c r="I463" s="5"/>
      <c r="J463" s="6"/>
      <c r="K463" s="6"/>
      <c r="L463" s="7"/>
      <c r="M463" s="1"/>
      <c r="N463" s="2"/>
      <c r="O463" s="1"/>
      <c r="P463" s="9">
        <v>1100.0</v>
      </c>
      <c r="Q463" s="9">
        <v>650.0</v>
      </c>
      <c r="R463" s="10"/>
      <c r="S463" s="4"/>
    </row>
    <row r="464" ht="9.0" customHeight="1">
      <c r="A464" s="4" t="s">
        <v>704</v>
      </c>
      <c r="B464" s="4"/>
      <c r="C464" s="5" t="s">
        <v>657</v>
      </c>
      <c r="D464" s="1"/>
      <c r="E464" s="4" t="s">
        <v>44</v>
      </c>
      <c r="F464" s="1"/>
      <c r="G464" s="4" t="s">
        <v>705</v>
      </c>
      <c r="H464" s="5"/>
      <c r="I464" s="5"/>
      <c r="J464" s="6"/>
      <c r="K464" s="6"/>
      <c r="L464" s="7" t="s">
        <v>23</v>
      </c>
      <c r="M464" s="1"/>
      <c r="N464" s="2"/>
      <c r="O464" s="1"/>
      <c r="P464" s="9">
        <v>900.0</v>
      </c>
      <c r="Q464" s="9">
        <v>550.0</v>
      </c>
      <c r="R464" s="10"/>
      <c r="S464" s="4"/>
    </row>
    <row r="465" ht="9.0" customHeight="1">
      <c r="A465" s="4" t="s">
        <v>704</v>
      </c>
      <c r="B465" s="4"/>
      <c r="C465" s="4" t="s">
        <v>653</v>
      </c>
      <c r="D465" s="1"/>
      <c r="E465" s="4" t="s">
        <v>44</v>
      </c>
      <c r="F465" s="1"/>
      <c r="G465" s="4" t="s">
        <v>706</v>
      </c>
      <c r="H465" s="5"/>
      <c r="I465" s="5"/>
      <c r="J465" s="6"/>
      <c r="K465" s="6"/>
      <c r="L465" s="7" t="s">
        <v>23</v>
      </c>
      <c r="M465" s="1"/>
      <c r="N465" s="2"/>
      <c r="O465" s="1"/>
      <c r="P465" s="9">
        <v>900.0</v>
      </c>
      <c r="Q465" s="9">
        <v>550.0</v>
      </c>
      <c r="R465" s="10"/>
      <c r="S465" s="4"/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0" footer="0.0" header="0.0" left="0.0" right="0.0" top="0.0"/>
  <pageSetup paperSize="9" orientation="portrait"/>
  <rowBreaks count="12" manualBreakCount="12">
    <brk id="451" man="1"/>
    <brk id="211" man="1"/>
    <brk id="356" man="1"/>
    <brk id="53" man="1"/>
    <brk id="278" man="1"/>
    <brk id="56" man="1"/>
    <brk id="137" man="1"/>
    <brk id="250" man="1"/>
    <brk id="315" man="1"/>
    <brk id="108" man="1"/>
    <brk id="413" man="1"/>
    <brk id="174" man="1"/>
  </rowBreaks>
  <colBreaks count="1" manualBreakCount="1">
    <brk id="19" man="1"/>
  </colBrea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min="2" max="3" width="14.57"/>
    <col customWidth="1" hidden="1" min="4" max="4" width="7.86"/>
    <col customWidth="1" min="5" max="5" width="23.14"/>
    <col customWidth="1" hidden="1" min="6" max="6" width="5.71"/>
    <col customWidth="1" min="7" max="7" width="54.71"/>
    <col customWidth="1" min="8" max="8" width="12.29"/>
    <col customWidth="1" hidden="1" min="9" max="9" width="6.29"/>
    <col customWidth="1" hidden="1" min="10" max="10" width="12.0"/>
    <col customWidth="1" min="11" max="11" width="12.29"/>
    <col customWidth="1" hidden="1" min="12" max="12" width="5.71"/>
    <col customWidth="1" hidden="1" min="13" max="13" width="12.57"/>
    <col customWidth="1" min="14" max="14" width="5.71"/>
    <col customWidth="1" hidden="1" min="15" max="15" width="12.57"/>
    <col customWidth="1" min="16" max="18" width="7.43"/>
    <col customWidth="1" min="19" max="19" width="12.0"/>
    <col customWidth="1" min="20" max="23" width="12.57"/>
  </cols>
  <sheetData>
    <row r="1">
      <c r="A1" s="26" t="s">
        <v>707</v>
      </c>
      <c r="T1" s="27"/>
      <c r="U1" s="27"/>
      <c r="V1" s="27"/>
      <c r="W1" s="27"/>
    </row>
    <row r="2">
      <c r="A2" s="28" t="str">
        <f>IFERROR(__xludf.DUMMYFUNCTION("QUERY('全ウイスキー'!A:S, ""SELECT * WHERE L contains '✓'"")"),"国")</f>
        <v>国</v>
      </c>
      <c r="B2" s="28" t="str">
        <f>IFERROR(__xludf.DUMMYFUNCTION("""COMPUTED_VALUE"""),"製造会社")</f>
        <v>製造会社</v>
      </c>
      <c r="C2" s="28" t="str">
        <f>IFERROR(__xludf.DUMMYFUNCTION("""COMPUTED_VALUE"""),"販売会社")</f>
        <v>販売会社</v>
      </c>
      <c r="D2" s="28" t="str">
        <f>IFERROR(__xludf.DUMMYFUNCTION("""COMPUTED_VALUE"""),"蒸溜所")</f>
        <v>蒸溜所</v>
      </c>
      <c r="E2" s="28" t="str">
        <f>IFERROR(__xludf.DUMMYFUNCTION("""COMPUTED_VALUE"""),"タイプ")</f>
        <v>タイプ</v>
      </c>
      <c r="F2" s="28" t="str">
        <f>IFERROR(__xludf.DUMMYFUNCTION("""COMPUTED_VALUE"""),"樽番号")</f>
        <v>樽番号</v>
      </c>
      <c r="G2" s="28" t="str">
        <f>IFERROR(__xludf.DUMMYFUNCTION("""COMPUTED_VALUE"""),"商品名")</f>
        <v>商品名</v>
      </c>
      <c r="H2" s="28" t="str">
        <f>IFERROR(__xludf.DUMMYFUNCTION("""COMPUTED_VALUE"""),"備考")</f>
        <v>備考</v>
      </c>
      <c r="I2" s="28" t="str">
        <f>IFERROR(__xludf.DUMMYFUNCTION("""COMPUTED_VALUE"""),"熟成地")</f>
        <v>熟成地</v>
      </c>
      <c r="J2" s="28" t="str">
        <f>IFERROR(__xludf.DUMMYFUNCTION("""COMPUTED_VALUE"""),"樽種")</f>
        <v>樽種</v>
      </c>
      <c r="K2" s="28" t="str">
        <f>IFERROR(__xludf.DUMMYFUNCTION("""COMPUTED_VALUE"""),"熟成期間")</f>
        <v>熟成期間</v>
      </c>
      <c r="L2" s="28" t="str">
        <f>IFERROR(__xludf.DUMMYFUNCTION("""COMPUTED_VALUE"""),"現行")</f>
        <v>現行</v>
      </c>
      <c r="M2" s="28" t="str">
        <f>IFERROR(__xludf.DUMMYFUNCTION("""COMPUTED_VALUE"""),"ピート感")</f>
        <v>ピート感</v>
      </c>
      <c r="N2" s="28" t="str">
        <f>IFERROR(__xludf.DUMMYFUNCTION("""COMPUTED_VALUE"""),"度数")</f>
        <v>度数</v>
      </c>
      <c r="O2" s="28" t="str">
        <f>IFERROR(__xludf.DUMMYFUNCTION("""COMPUTED_VALUE"""),"本数")</f>
        <v>本数</v>
      </c>
      <c r="P2" s="28" t="str">
        <f>IFERROR(__xludf.DUMMYFUNCTION("""COMPUTED_VALUE"""),"30ml")</f>
        <v>30ml</v>
      </c>
      <c r="Q2" s="28" t="str">
        <f>IFERROR(__xludf.DUMMYFUNCTION("""COMPUTED_VALUE"""),"15ml")</f>
        <v>15ml</v>
      </c>
      <c r="R2" s="28" t="str">
        <f>IFERROR(__xludf.DUMMYFUNCTION("""COMPUTED_VALUE"""),"10ml")</f>
        <v>10ml</v>
      </c>
      <c r="S2" s="28" t="str">
        <f>IFERROR(__xludf.DUMMYFUNCTION("""COMPUTED_VALUE"""),"ブログ")</f>
        <v>ブログ</v>
      </c>
      <c r="T2" s="28"/>
      <c r="U2" s="28"/>
      <c r="V2" s="28"/>
      <c r="W2" s="28"/>
    </row>
    <row r="3">
      <c r="A3" s="29" t="str">
        <f>IFERROR(__xludf.DUMMYFUNCTION("""COMPUTED_VALUE"""),"JP")</f>
        <v>JP</v>
      </c>
      <c r="B3" s="29" t="str">
        <f>IFERROR(__xludf.DUMMYFUNCTION("""COMPUTED_VALUE"""),"サントリー")</f>
        <v>サントリー</v>
      </c>
      <c r="C3" s="29" t="str">
        <f>IFERROR(__xludf.DUMMYFUNCTION("""COMPUTED_VALUE"""),"サントリー")</f>
        <v>サントリー</v>
      </c>
      <c r="D3" s="29" t="str">
        <f>IFERROR(__xludf.DUMMYFUNCTION("""COMPUTED_VALUE"""),"山崎")</f>
        <v>山崎</v>
      </c>
      <c r="E3" s="29" t="str">
        <f>IFERROR(__xludf.DUMMYFUNCTION("""COMPUTED_VALUE"""),"シングルモルト")</f>
        <v>シングルモルト</v>
      </c>
      <c r="F3" s="29"/>
      <c r="G3" s="29" t="str">
        <f>IFERROR(__xludf.DUMMYFUNCTION("""COMPUTED_VALUE"""),"山崎")</f>
        <v>山崎</v>
      </c>
      <c r="H3" s="29"/>
      <c r="I3" s="29"/>
      <c r="J3" s="29"/>
      <c r="K3" s="29"/>
      <c r="L3" s="29" t="str">
        <f>IFERROR(__xludf.DUMMYFUNCTION("""COMPUTED_VALUE"""),"✓")</f>
        <v>✓</v>
      </c>
      <c r="M3" s="29"/>
      <c r="N3" s="30">
        <f>IFERROR(__xludf.DUMMYFUNCTION("""COMPUTED_VALUE"""),0.43)</f>
        <v>0.43</v>
      </c>
      <c r="O3" s="29"/>
      <c r="P3" s="31">
        <f>IFERROR(__xludf.DUMMYFUNCTION("""COMPUTED_VALUE"""),1300.0)</f>
        <v>1300</v>
      </c>
      <c r="Q3" s="31">
        <f>IFERROR(__xludf.DUMMYFUNCTION("""COMPUTED_VALUE"""),750.0)</f>
        <v>750</v>
      </c>
      <c r="R3" s="31"/>
      <c r="S3" s="32">
        <f>IFERROR(__xludf.DUMMYFUNCTION("""COMPUTED_VALUE"""),45066.0)</f>
        <v>45066</v>
      </c>
      <c r="T3" s="29"/>
      <c r="U3" s="29"/>
      <c r="V3" s="29"/>
      <c r="W3" s="29"/>
    </row>
    <row r="4">
      <c r="A4" s="29" t="str">
        <f>IFERROR(__xludf.DUMMYFUNCTION("""COMPUTED_VALUE"""),"JP")</f>
        <v>JP</v>
      </c>
      <c r="B4" s="29" t="str">
        <f>IFERROR(__xludf.DUMMYFUNCTION("""COMPUTED_VALUE"""),"サントリー")</f>
        <v>サントリー</v>
      </c>
      <c r="C4" s="29" t="str">
        <f>IFERROR(__xludf.DUMMYFUNCTION("""COMPUTED_VALUE"""),"サントリー")</f>
        <v>サントリー</v>
      </c>
      <c r="D4" s="29" t="str">
        <f>IFERROR(__xludf.DUMMYFUNCTION("""COMPUTED_VALUE"""),"山崎")</f>
        <v>山崎</v>
      </c>
      <c r="E4" s="29" t="str">
        <f>IFERROR(__xludf.DUMMYFUNCTION("""COMPUTED_VALUE"""),"シングルモルト")</f>
        <v>シングルモルト</v>
      </c>
      <c r="F4" s="29"/>
      <c r="G4" s="29" t="str">
        <f>IFERROR(__xludf.DUMMYFUNCTION("""COMPUTED_VALUE"""),"山崎 12年")</f>
        <v>山崎 12年</v>
      </c>
      <c r="H4" s="29"/>
      <c r="I4" s="29"/>
      <c r="J4" s="29"/>
      <c r="K4" s="29"/>
      <c r="L4" s="29" t="str">
        <f>IFERROR(__xludf.DUMMYFUNCTION("""COMPUTED_VALUE"""),"✓")</f>
        <v>✓</v>
      </c>
      <c r="M4" s="29"/>
      <c r="N4" s="30">
        <f>IFERROR(__xludf.DUMMYFUNCTION("""COMPUTED_VALUE"""),0.43)</f>
        <v>0.43</v>
      </c>
      <c r="O4" s="29"/>
      <c r="P4" s="31">
        <f>IFERROR(__xludf.DUMMYFUNCTION("""COMPUTED_VALUE"""),2600.0)</f>
        <v>2600</v>
      </c>
      <c r="Q4" s="31">
        <f>IFERROR(__xludf.DUMMYFUNCTION("""COMPUTED_VALUE"""),1400.0)</f>
        <v>1400</v>
      </c>
      <c r="R4" s="31"/>
      <c r="S4" s="32">
        <f>IFERROR(__xludf.DUMMYFUNCTION("""COMPUTED_VALUE"""),45067.0)</f>
        <v>45067</v>
      </c>
      <c r="T4" s="29"/>
      <c r="U4" s="29"/>
      <c r="V4" s="29"/>
      <c r="W4" s="29"/>
    </row>
    <row r="5">
      <c r="A5" s="29" t="str">
        <f>IFERROR(__xludf.DUMMYFUNCTION("""COMPUTED_VALUE"""),"JP")</f>
        <v>JP</v>
      </c>
      <c r="B5" s="29" t="str">
        <f>IFERROR(__xludf.DUMMYFUNCTION("""COMPUTED_VALUE"""),"サントリー")</f>
        <v>サントリー</v>
      </c>
      <c r="C5" s="29" t="str">
        <f>IFERROR(__xludf.DUMMYFUNCTION("""COMPUTED_VALUE"""),"サントリー")</f>
        <v>サントリー</v>
      </c>
      <c r="D5" s="29" t="str">
        <f>IFERROR(__xludf.DUMMYFUNCTION("""COMPUTED_VALUE"""),"山崎")</f>
        <v>山崎</v>
      </c>
      <c r="E5" s="29" t="str">
        <f>IFERROR(__xludf.DUMMYFUNCTION("""COMPUTED_VALUE"""),"シングルモルト")</f>
        <v>シングルモルト</v>
      </c>
      <c r="F5" s="29"/>
      <c r="G5" s="29" t="str">
        <f>IFERROR(__xludf.DUMMYFUNCTION("""COMPUTED_VALUE"""),"山崎 18年")</f>
        <v>山崎 18年</v>
      </c>
      <c r="H5" s="29"/>
      <c r="I5" s="29"/>
      <c r="J5" s="29"/>
      <c r="K5" s="29"/>
      <c r="L5" s="29" t="str">
        <f>IFERROR(__xludf.DUMMYFUNCTION("""COMPUTED_VALUE"""),"✓")</f>
        <v>✓</v>
      </c>
      <c r="M5" s="29"/>
      <c r="N5" s="30">
        <f>IFERROR(__xludf.DUMMYFUNCTION("""COMPUTED_VALUE"""),0.43)</f>
        <v>0.43</v>
      </c>
      <c r="O5" s="29"/>
      <c r="P5" s="31"/>
      <c r="Q5" s="31"/>
      <c r="R5" s="31">
        <f>IFERROR(__xludf.DUMMYFUNCTION("""COMPUTED_VALUE"""),2200.0)</f>
        <v>2200</v>
      </c>
      <c r="S5" s="32">
        <f>IFERROR(__xludf.DUMMYFUNCTION("""COMPUTED_VALUE"""),45069.0)</f>
        <v>45069</v>
      </c>
      <c r="T5" s="29"/>
      <c r="U5" s="29"/>
      <c r="V5" s="29"/>
      <c r="W5" s="29"/>
    </row>
    <row r="6">
      <c r="A6" s="29" t="str">
        <f>IFERROR(__xludf.DUMMYFUNCTION("""COMPUTED_VALUE"""),"JP")</f>
        <v>JP</v>
      </c>
      <c r="B6" s="29" t="str">
        <f>IFERROR(__xludf.DUMMYFUNCTION("""COMPUTED_VALUE"""),"サントリー")</f>
        <v>サントリー</v>
      </c>
      <c r="C6" s="29" t="str">
        <f>IFERROR(__xludf.DUMMYFUNCTION("""COMPUTED_VALUE"""),"サントリー")</f>
        <v>サントリー</v>
      </c>
      <c r="D6" s="29" t="str">
        <f>IFERROR(__xludf.DUMMYFUNCTION("""COMPUTED_VALUE"""),"白州")</f>
        <v>白州</v>
      </c>
      <c r="E6" s="29" t="str">
        <f>IFERROR(__xludf.DUMMYFUNCTION("""COMPUTED_VALUE"""),"シングルモルト")</f>
        <v>シングルモルト</v>
      </c>
      <c r="F6" s="29"/>
      <c r="G6" s="29" t="str">
        <f>IFERROR(__xludf.DUMMYFUNCTION("""COMPUTED_VALUE"""),"白州")</f>
        <v>白州</v>
      </c>
      <c r="H6" s="29"/>
      <c r="I6" s="29"/>
      <c r="J6" s="29"/>
      <c r="K6" s="29"/>
      <c r="L6" s="29" t="str">
        <f>IFERROR(__xludf.DUMMYFUNCTION("""COMPUTED_VALUE"""),"✓")</f>
        <v>✓</v>
      </c>
      <c r="M6" s="29"/>
      <c r="N6" s="30">
        <f>IFERROR(__xludf.DUMMYFUNCTION("""COMPUTED_VALUE"""),0.43)</f>
        <v>0.43</v>
      </c>
      <c r="O6" s="29"/>
      <c r="P6" s="31">
        <f>IFERROR(__xludf.DUMMYFUNCTION("""COMPUTED_VALUE"""),1300.0)</f>
        <v>1300</v>
      </c>
      <c r="Q6" s="31">
        <f>IFERROR(__xludf.DUMMYFUNCTION("""COMPUTED_VALUE"""),700.0)</f>
        <v>700</v>
      </c>
      <c r="R6" s="31"/>
      <c r="S6" s="32">
        <f>IFERROR(__xludf.DUMMYFUNCTION("""COMPUTED_VALUE"""),45076.0)</f>
        <v>45076</v>
      </c>
      <c r="T6" s="29"/>
      <c r="U6" s="29"/>
      <c r="V6" s="29"/>
      <c r="W6" s="29"/>
    </row>
    <row r="7">
      <c r="A7" s="29" t="str">
        <f>IFERROR(__xludf.DUMMYFUNCTION("""COMPUTED_VALUE"""),"JP")</f>
        <v>JP</v>
      </c>
      <c r="B7" s="29" t="str">
        <f>IFERROR(__xludf.DUMMYFUNCTION("""COMPUTED_VALUE"""),"サントリー")</f>
        <v>サントリー</v>
      </c>
      <c r="C7" s="29" t="str">
        <f>IFERROR(__xludf.DUMMYFUNCTION("""COMPUTED_VALUE"""),"サントリー")</f>
        <v>サントリー</v>
      </c>
      <c r="D7" s="29" t="str">
        <f>IFERROR(__xludf.DUMMYFUNCTION("""COMPUTED_VALUE"""),"白州")</f>
        <v>白州</v>
      </c>
      <c r="E7" s="29" t="str">
        <f>IFERROR(__xludf.DUMMYFUNCTION("""COMPUTED_VALUE"""),"シングルモルト")</f>
        <v>シングルモルト</v>
      </c>
      <c r="F7" s="29"/>
      <c r="G7" s="29" t="str">
        <f>IFERROR(__xludf.DUMMYFUNCTION("""COMPUTED_VALUE"""),"白州 12年")</f>
        <v>白州 12年</v>
      </c>
      <c r="H7" s="29"/>
      <c r="I7" s="29"/>
      <c r="J7" s="29"/>
      <c r="K7" s="29"/>
      <c r="L7" s="29" t="str">
        <f>IFERROR(__xludf.DUMMYFUNCTION("""COMPUTED_VALUE"""),"✓")</f>
        <v>✓</v>
      </c>
      <c r="M7" s="29"/>
      <c r="N7" s="30">
        <f>IFERROR(__xludf.DUMMYFUNCTION("""COMPUTED_VALUE"""),0.43)</f>
        <v>0.43</v>
      </c>
      <c r="O7" s="29"/>
      <c r="P7" s="31">
        <f>IFERROR(__xludf.DUMMYFUNCTION("""COMPUTED_VALUE"""),2600.0)</f>
        <v>2600</v>
      </c>
      <c r="Q7" s="31">
        <f>IFERROR(__xludf.DUMMYFUNCTION("""COMPUTED_VALUE"""),1400.0)</f>
        <v>1400</v>
      </c>
      <c r="R7" s="31"/>
      <c r="S7" s="32">
        <f>IFERROR(__xludf.DUMMYFUNCTION("""COMPUTED_VALUE"""),45078.0)</f>
        <v>45078</v>
      </c>
      <c r="T7" s="29"/>
      <c r="U7" s="29"/>
      <c r="V7" s="29"/>
      <c r="W7" s="29"/>
    </row>
    <row r="8">
      <c r="A8" s="29" t="str">
        <f>IFERROR(__xludf.DUMMYFUNCTION("""COMPUTED_VALUE"""),"JP")</f>
        <v>JP</v>
      </c>
      <c r="B8" s="29" t="str">
        <f>IFERROR(__xludf.DUMMYFUNCTION("""COMPUTED_VALUE"""),"サントリー")</f>
        <v>サントリー</v>
      </c>
      <c r="C8" s="29" t="str">
        <f>IFERROR(__xludf.DUMMYFUNCTION("""COMPUTED_VALUE"""),"サントリー")</f>
        <v>サントリー</v>
      </c>
      <c r="D8" s="29" t="str">
        <f>IFERROR(__xludf.DUMMYFUNCTION("""COMPUTED_VALUE"""),"白州")</f>
        <v>白州</v>
      </c>
      <c r="E8" s="29" t="str">
        <f>IFERROR(__xludf.DUMMYFUNCTION("""COMPUTED_VALUE"""),"シングルモルト")</f>
        <v>シングルモルト</v>
      </c>
      <c r="F8" s="29"/>
      <c r="G8" s="29" t="str">
        <f>IFERROR(__xludf.DUMMYFUNCTION("""COMPUTED_VALUE"""),"白州 18年")</f>
        <v>白州 18年</v>
      </c>
      <c r="H8" s="29"/>
      <c r="I8" s="29"/>
      <c r="J8" s="29"/>
      <c r="K8" s="29"/>
      <c r="L8" s="29" t="str">
        <f>IFERROR(__xludf.DUMMYFUNCTION("""COMPUTED_VALUE"""),"✓")</f>
        <v>✓</v>
      </c>
      <c r="M8" s="29"/>
      <c r="N8" s="30">
        <f>IFERROR(__xludf.DUMMYFUNCTION("""COMPUTED_VALUE"""),0.43)</f>
        <v>0.43</v>
      </c>
      <c r="O8" s="29"/>
      <c r="P8" s="31"/>
      <c r="Q8" s="31"/>
      <c r="R8" s="31">
        <f>IFERROR(__xludf.DUMMYFUNCTION("""COMPUTED_VALUE"""),2200.0)</f>
        <v>2200</v>
      </c>
      <c r="S8" s="32">
        <f>IFERROR(__xludf.DUMMYFUNCTION("""COMPUTED_VALUE"""),45080.0)</f>
        <v>45080</v>
      </c>
      <c r="T8" s="29"/>
      <c r="U8" s="29"/>
      <c r="V8" s="29"/>
      <c r="W8" s="29"/>
    </row>
    <row r="9">
      <c r="A9" s="29" t="str">
        <f>IFERROR(__xludf.DUMMYFUNCTION("""COMPUTED_VALUE"""),"JP")</f>
        <v>JP</v>
      </c>
      <c r="B9" s="29" t="str">
        <f>IFERROR(__xludf.DUMMYFUNCTION("""COMPUTED_VALUE"""),"サントリー")</f>
        <v>サントリー</v>
      </c>
      <c r="C9" s="29" t="str">
        <f>IFERROR(__xludf.DUMMYFUNCTION("""COMPUTED_VALUE"""),"サントリー")</f>
        <v>サントリー</v>
      </c>
      <c r="D9" s="29" t="str">
        <f>IFERROR(__xludf.DUMMYFUNCTION("""COMPUTED_VALUE"""),"知多")</f>
        <v>知多</v>
      </c>
      <c r="E9" s="29" t="str">
        <f>IFERROR(__xludf.DUMMYFUNCTION("""COMPUTED_VALUE"""),"シングルグレーン")</f>
        <v>シングルグレーン</v>
      </c>
      <c r="F9" s="29"/>
      <c r="G9" s="29" t="str">
        <f>IFERROR(__xludf.DUMMYFUNCTION("""COMPUTED_VALUE"""),"知多")</f>
        <v>知多</v>
      </c>
      <c r="H9" s="29"/>
      <c r="I9" s="29"/>
      <c r="J9" s="29"/>
      <c r="K9" s="29"/>
      <c r="L9" s="29" t="str">
        <f>IFERROR(__xludf.DUMMYFUNCTION("""COMPUTED_VALUE"""),"✓")</f>
        <v>✓</v>
      </c>
      <c r="M9" s="29"/>
      <c r="N9" s="30">
        <f>IFERROR(__xludf.DUMMYFUNCTION("""COMPUTED_VALUE"""),0.43)</f>
        <v>0.43</v>
      </c>
      <c r="O9" s="29"/>
      <c r="P9" s="31">
        <f>IFERROR(__xludf.DUMMYFUNCTION("""COMPUTED_VALUE"""),1200.0)</f>
        <v>1200</v>
      </c>
      <c r="Q9" s="31">
        <f>IFERROR(__xludf.DUMMYFUNCTION("""COMPUTED_VALUE"""),700.0)</f>
        <v>700</v>
      </c>
      <c r="R9" s="31"/>
      <c r="S9" s="32">
        <f>IFERROR(__xludf.DUMMYFUNCTION("""COMPUTED_VALUE"""),45083.0)</f>
        <v>45083</v>
      </c>
      <c r="T9" s="29"/>
      <c r="U9" s="29"/>
      <c r="V9" s="29"/>
      <c r="W9" s="29"/>
    </row>
    <row r="10">
      <c r="A10" s="29" t="str">
        <f>IFERROR(__xludf.DUMMYFUNCTION("""COMPUTED_VALUE"""),"JP")</f>
        <v>JP</v>
      </c>
      <c r="B10" s="29" t="str">
        <f>IFERROR(__xludf.DUMMYFUNCTION("""COMPUTED_VALUE"""),"サントリー")</f>
        <v>サントリー</v>
      </c>
      <c r="C10" s="29" t="str">
        <f>IFERROR(__xludf.DUMMYFUNCTION("""COMPUTED_VALUE"""),"サントリー")</f>
        <v>サントリー</v>
      </c>
      <c r="D10" s="29"/>
      <c r="E10" s="29" t="str">
        <f>IFERROR(__xludf.DUMMYFUNCTION("""COMPUTED_VALUE"""),"ブレンデッド")</f>
        <v>ブレンデッド</v>
      </c>
      <c r="F10" s="29"/>
      <c r="G10" s="29" t="str">
        <f>IFERROR(__xludf.DUMMYFUNCTION("""COMPUTED_VALUE"""),"響 ジャパニーズハーモニー")</f>
        <v>響 ジャパニーズハーモニー</v>
      </c>
      <c r="H10" s="29"/>
      <c r="I10" s="29"/>
      <c r="J10" s="29"/>
      <c r="K10" s="29"/>
      <c r="L10" s="29" t="str">
        <f>IFERROR(__xludf.DUMMYFUNCTION("""COMPUTED_VALUE"""),"✓")</f>
        <v>✓</v>
      </c>
      <c r="M10" s="29"/>
      <c r="N10" s="30">
        <f>IFERROR(__xludf.DUMMYFUNCTION("""COMPUTED_VALUE"""),0.43)</f>
        <v>0.43</v>
      </c>
      <c r="O10" s="29"/>
      <c r="P10" s="31">
        <f>IFERROR(__xludf.DUMMYFUNCTION("""COMPUTED_VALUE"""),1400.0)</f>
        <v>1400</v>
      </c>
      <c r="Q10" s="31">
        <f>IFERROR(__xludf.DUMMYFUNCTION("""COMPUTED_VALUE"""),800.0)</f>
        <v>800</v>
      </c>
      <c r="R10" s="31"/>
      <c r="S10" s="32">
        <f>IFERROR(__xludf.DUMMYFUNCTION("""COMPUTED_VALUE"""),45116.0)</f>
        <v>45116</v>
      </c>
      <c r="T10" s="29"/>
      <c r="U10" s="29"/>
      <c r="V10" s="29"/>
      <c r="W10" s="29"/>
    </row>
    <row r="11">
      <c r="A11" s="29" t="str">
        <f>IFERROR(__xludf.DUMMYFUNCTION("""COMPUTED_VALUE"""),"JP")</f>
        <v>JP</v>
      </c>
      <c r="B11" s="29" t="str">
        <f>IFERROR(__xludf.DUMMYFUNCTION("""COMPUTED_VALUE"""),"サントリー")</f>
        <v>サントリー</v>
      </c>
      <c r="C11" s="29" t="str">
        <f>IFERROR(__xludf.DUMMYFUNCTION("""COMPUTED_VALUE"""),"サントリー")</f>
        <v>サントリー</v>
      </c>
      <c r="D11" s="29"/>
      <c r="E11" s="29" t="str">
        <f>IFERROR(__xludf.DUMMYFUNCTION("""COMPUTED_VALUE"""),"ブレンデッド")</f>
        <v>ブレンデッド</v>
      </c>
      <c r="F11" s="29"/>
      <c r="G11" s="29" t="str">
        <f>IFERROR(__xludf.DUMMYFUNCTION("""COMPUTED_VALUE"""),"響 ブレンダーズチョイス")</f>
        <v>響 ブレンダーズチョイス</v>
      </c>
      <c r="H11" s="29"/>
      <c r="I11" s="29"/>
      <c r="J11" s="29"/>
      <c r="K11" s="29"/>
      <c r="L11" s="29" t="str">
        <f>IFERROR(__xludf.DUMMYFUNCTION("""COMPUTED_VALUE"""),"✓")</f>
        <v>✓</v>
      </c>
      <c r="M11" s="29"/>
      <c r="N11" s="30">
        <f>IFERROR(__xludf.DUMMYFUNCTION("""COMPUTED_VALUE"""),0.43)</f>
        <v>0.43</v>
      </c>
      <c r="O11" s="29"/>
      <c r="P11" s="31">
        <f>IFERROR(__xludf.DUMMYFUNCTION("""COMPUTED_VALUE"""),2600.0)</f>
        <v>2600</v>
      </c>
      <c r="Q11" s="31">
        <f>IFERROR(__xludf.DUMMYFUNCTION("""COMPUTED_VALUE"""),1400.0)</f>
        <v>1400</v>
      </c>
      <c r="R11" s="31"/>
      <c r="S11" s="32">
        <f>IFERROR(__xludf.DUMMYFUNCTION("""COMPUTED_VALUE"""),45128.0)</f>
        <v>45128</v>
      </c>
      <c r="T11" s="29"/>
      <c r="U11" s="29"/>
      <c r="V11" s="29"/>
      <c r="W11" s="29"/>
    </row>
    <row r="12">
      <c r="A12" s="29" t="str">
        <f>IFERROR(__xludf.DUMMYFUNCTION("""COMPUTED_VALUE"""),"JP")</f>
        <v>JP</v>
      </c>
      <c r="B12" s="29" t="str">
        <f>IFERROR(__xludf.DUMMYFUNCTION("""COMPUTED_VALUE"""),"サントリー")</f>
        <v>サントリー</v>
      </c>
      <c r="C12" s="29" t="str">
        <f>IFERROR(__xludf.DUMMYFUNCTION("""COMPUTED_VALUE"""),"サントリー")</f>
        <v>サントリー</v>
      </c>
      <c r="D12" s="29"/>
      <c r="E12" s="29" t="str">
        <f>IFERROR(__xludf.DUMMYFUNCTION("""COMPUTED_VALUE"""),"ブレンデッド")</f>
        <v>ブレンデッド</v>
      </c>
      <c r="F12" s="29"/>
      <c r="G12" s="29" t="str">
        <f>IFERROR(__xludf.DUMMYFUNCTION("""COMPUTED_VALUE"""),"響 マスターズセレクト")</f>
        <v>響 マスターズセレクト</v>
      </c>
      <c r="H12" s="29" t="str">
        <f>IFERROR(__xludf.DUMMYFUNCTION("""COMPUTED_VALUE"""),"免税店限定")</f>
        <v>免税店限定</v>
      </c>
      <c r="I12" s="29"/>
      <c r="J12" s="29"/>
      <c r="K12" s="29"/>
      <c r="L12" s="29" t="str">
        <f>IFERROR(__xludf.DUMMYFUNCTION("""COMPUTED_VALUE"""),"✓")</f>
        <v>✓</v>
      </c>
      <c r="M12" s="29"/>
      <c r="N12" s="30">
        <f>IFERROR(__xludf.DUMMYFUNCTION("""COMPUTED_VALUE"""),0.43)</f>
        <v>0.43</v>
      </c>
      <c r="O12" s="29"/>
      <c r="P12" s="31">
        <f>IFERROR(__xludf.DUMMYFUNCTION("""COMPUTED_VALUE"""),3000.0)</f>
        <v>3000</v>
      </c>
      <c r="Q12" s="31">
        <f>IFERROR(__xludf.DUMMYFUNCTION("""COMPUTED_VALUE"""),1600.0)</f>
        <v>1600</v>
      </c>
      <c r="R12" s="31"/>
      <c r="S12" s="32">
        <f>IFERROR(__xludf.DUMMYFUNCTION("""COMPUTED_VALUE"""),45131.0)</f>
        <v>45131</v>
      </c>
      <c r="T12" s="29"/>
      <c r="U12" s="29"/>
      <c r="V12" s="29"/>
      <c r="W12" s="29"/>
    </row>
    <row r="13">
      <c r="A13" s="29" t="str">
        <f>IFERROR(__xludf.DUMMYFUNCTION("""COMPUTED_VALUE"""),"JP")</f>
        <v>JP</v>
      </c>
      <c r="B13" s="29" t="str">
        <f>IFERROR(__xludf.DUMMYFUNCTION("""COMPUTED_VALUE"""),"サントリー")</f>
        <v>サントリー</v>
      </c>
      <c r="C13" s="29" t="str">
        <f>IFERROR(__xludf.DUMMYFUNCTION("""COMPUTED_VALUE"""),"サントリー")</f>
        <v>サントリー</v>
      </c>
      <c r="D13" s="29"/>
      <c r="E13" s="29" t="str">
        <f>IFERROR(__xludf.DUMMYFUNCTION("""COMPUTED_VALUE"""),"ブレンデッド")</f>
        <v>ブレンデッド</v>
      </c>
      <c r="F13" s="29"/>
      <c r="G13" s="29" t="str">
        <f>IFERROR(__xludf.DUMMYFUNCTION("""COMPUTED_VALUE"""),"響 21年")</f>
        <v>響 21年</v>
      </c>
      <c r="H13" s="29"/>
      <c r="I13" s="29"/>
      <c r="J13" s="29"/>
      <c r="K13" s="29"/>
      <c r="L13" s="29" t="str">
        <f>IFERROR(__xludf.DUMMYFUNCTION("""COMPUTED_VALUE"""),"✓")</f>
        <v>✓</v>
      </c>
      <c r="M13" s="29"/>
      <c r="N13" s="30">
        <f>IFERROR(__xludf.DUMMYFUNCTION("""COMPUTED_VALUE"""),0.43)</f>
        <v>0.43</v>
      </c>
      <c r="O13" s="29"/>
      <c r="P13" s="31"/>
      <c r="Q13" s="31"/>
      <c r="R13" s="31">
        <f>IFERROR(__xludf.DUMMYFUNCTION("""COMPUTED_VALUE"""),2200.0)</f>
        <v>2200</v>
      </c>
      <c r="S13" s="32">
        <f>IFERROR(__xludf.DUMMYFUNCTION("""COMPUTED_VALUE"""),45129.0)</f>
        <v>45129</v>
      </c>
      <c r="T13" s="29"/>
      <c r="U13" s="29"/>
      <c r="V13" s="29"/>
      <c r="W13" s="29"/>
    </row>
    <row r="14">
      <c r="A14" s="29" t="str">
        <f>IFERROR(__xludf.DUMMYFUNCTION("""COMPUTED_VALUE"""),"JP")</f>
        <v>JP</v>
      </c>
      <c r="B14" s="29" t="str">
        <f>IFERROR(__xludf.DUMMYFUNCTION("""COMPUTED_VALUE"""),"サントリー")</f>
        <v>サントリー</v>
      </c>
      <c r="C14" s="29" t="str">
        <f>IFERROR(__xludf.DUMMYFUNCTION("""COMPUTED_VALUE"""),"サントリー")</f>
        <v>サントリー</v>
      </c>
      <c r="D14" s="29"/>
      <c r="E14" s="29" t="str">
        <f>IFERROR(__xludf.DUMMYFUNCTION("""COMPUTED_VALUE"""),"ブレンデッド")</f>
        <v>ブレンデッド</v>
      </c>
      <c r="F14" s="29"/>
      <c r="G14" s="29" t="str">
        <f>IFERROR(__xludf.DUMMYFUNCTION("""COMPUTED_VALUE"""),"碧Ao")</f>
        <v>碧Ao</v>
      </c>
      <c r="H14" s="29"/>
      <c r="I14" s="29"/>
      <c r="J14" s="29"/>
      <c r="K14" s="29"/>
      <c r="L14" s="29" t="str">
        <f>IFERROR(__xludf.DUMMYFUNCTION("""COMPUTED_VALUE"""),"✓")</f>
        <v>✓</v>
      </c>
      <c r="M14" s="29"/>
      <c r="N14" s="30">
        <f>IFERROR(__xludf.DUMMYFUNCTION("""COMPUTED_VALUE"""),0.43)</f>
        <v>0.43</v>
      </c>
      <c r="O14" s="29"/>
      <c r="P14" s="31">
        <f>IFERROR(__xludf.DUMMYFUNCTION("""COMPUTED_VALUE"""),1100.0)</f>
        <v>1100</v>
      </c>
      <c r="Q14" s="31">
        <f>IFERROR(__xludf.DUMMYFUNCTION("""COMPUTED_VALUE"""),650.0)</f>
        <v>650</v>
      </c>
      <c r="R14" s="31"/>
      <c r="S14" s="32">
        <f>IFERROR(__xludf.DUMMYFUNCTION("""COMPUTED_VALUE"""),45423.0)</f>
        <v>45423</v>
      </c>
      <c r="T14" s="29"/>
      <c r="U14" s="29"/>
      <c r="V14" s="29"/>
      <c r="W14" s="29"/>
    </row>
    <row r="15">
      <c r="A15" s="29" t="str">
        <f>IFERROR(__xludf.DUMMYFUNCTION("""COMPUTED_VALUE"""),"JP")</f>
        <v>JP</v>
      </c>
      <c r="B15" s="29" t="str">
        <f>IFERROR(__xludf.DUMMYFUNCTION("""COMPUTED_VALUE"""),"サントリー")</f>
        <v>サントリー</v>
      </c>
      <c r="C15" s="29" t="str">
        <f>IFERROR(__xludf.DUMMYFUNCTION("""COMPUTED_VALUE"""),"サントリー")</f>
        <v>サントリー</v>
      </c>
      <c r="D15" s="29"/>
      <c r="E15" s="29" t="str">
        <f>IFERROR(__xludf.DUMMYFUNCTION("""COMPUTED_VALUE"""),"ブレンデッド")</f>
        <v>ブレンデッド</v>
      </c>
      <c r="F15" s="29"/>
      <c r="G15" s="29" t="str">
        <f>IFERROR(__xludf.DUMMYFUNCTION("""COMPUTED_VALUE"""),"角瓶")</f>
        <v>角瓶</v>
      </c>
      <c r="H15" s="29"/>
      <c r="I15" s="29"/>
      <c r="J15" s="29"/>
      <c r="K15" s="29"/>
      <c r="L15" s="29" t="str">
        <f>IFERROR(__xludf.DUMMYFUNCTION("""COMPUTED_VALUE"""),"✓")</f>
        <v>✓</v>
      </c>
      <c r="M15" s="29"/>
      <c r="N15" s="30">
        <f>IFERROR(__xludf.DUMMYFUNCTION("""COMPUTED_VALUE"""),0.4)</f>
        <v>0.4</v>
      </c>
      <c r="O15" s="29"/>
      <c r="P15" s="31">
        <f>IFERROR(__xludf.DUMMYFUNCTION("""COMPUTED_VALUE"""),900.0)</f>
        <v>900</v>
      </c>
      <c r="Q15" s="31">
        <f>IFERROR(__xludf.DUMMYFUNCTION("""COMPUTED_VALUE"""),550.0)</f>
        <v>550</v>
      </c>
      <c r="R15" s="31"/>
      <c r="S15" s="32">
        <f>IFERROR(__xludf.DUMMYFUNCTION("""COMPUTED_VALUE"""),45367.0)</f>
        <v>45367</v>
      </c>
      <c r="T15" s="29"/>
      <c r="U15" s="29"/>
      <c r="V15" s="29"/>
      <c r="W15" s="29"/>
    </row>
    <row r="16">
      <c r="A16" s="29" t="str">
        <f>IFERROR(__xludf.DUMMYFUNCTION("""COMPUTED_VALUE"""),"JP")</f>
        <v>JP</v>
      </c>
      <c r="B16" s="29" t="str">
        <f>IFERROR(__xludf.DUMMYFUNCTION("""COMPUTED_VALUE"""),"サントリー")</f>
        <v>サントリー</v>
      </c>
      <c r="C16" s="29" t="str">
        <f>IFERROR(__xludf.DUMMYFUNCTION("""COMPUTED_VALUE"""),"サントリー")</f>
        <v>サントリー</v>
      </c>
      <c r="D16" s="29"/>
      <c r="E16" s="29" t="str">
        <f>IFERROR(__xludf.DUMMYFUNCTION("""COMPUTED_VALUE"""),"ブレンデッド")</f>
        <v>ブレンデッド</v>
      </c>
      <c r="F16" s="29"/>
      <c r="G16" s="29" t="str">
        <f>IFERROR(__xludf.DUMMYFUNCTION("""COMPUTED_VALUE"""),"季")</f>
        <v>季</v>
      </c>
      <c r="H16" s="29" t="str">
        <f>IFERROR(__xludf.DUMMYFUNCTION("""COMPUTED_VALUE"""),"北米限定")</f>
        <v>北米限定</v>
      </c>
      <c r="I16" s="29"/>
      <c r="J16" s="29"/>
      <c r="K16" s="29"/>
      <c r="L16" s="29" t="str">
        <f>IFERROR(__xludf.DUMMYFUNCTION("""COMPUTED_VALUE"""),"✓")</f>
        <v>✓</v>
      </c>
      <c r="M16" s="29"/>
      <c r="N16" s="30">
        <f>IFERROR(__xludf.DUMMYFUNCTION("""COMPUTED_VALUE"""),0.43)</f>
        <v>0.43</v>
      </c>
      <c r="O16" s="29"/>
      <c r="P16" s="31">
        <f>IFERROR(__xludf.DUMMYFUNCTION("""COMPUTED_VALUE"""),1500.0)</f>
        <v>1500</v>
      </c>
      <c r="Q16" s="31">
        <f>IFERROR(__xludf.DUMMYFUNCTION("""COMPUTED_VALUE"""),850.0)</f>
        <v>850</v>
      </c>
      <c r="R16" s="31"/>
      <c r="S16" s="32">
        <f>IFERROR(__xludf.DUMMYFUNCTION("""COMPUTED_VALUE"""),45132.0)</f>
        <v>45132</v>
      </c>
      <c r="T16" s="29"/>
      <c r="U16" s="29"/>
      <c r="V16" s="29"/>
      <c r="W16" s="29"/>
    </row>
    <row r="17">
      <c r="A17" s="29" t="str">
        <f>IFERROR(__xludf.DUMMYFUNCTION("""COMPUTED_VALUE"""),"JP")</f>
        <v>JP</v>
      </c>
      <c r="B17" s="29" t="str">
        <f>IFERROR(__xludf.DUMMYFUNCTION("""COMPUTED_VALUE"""),"サントリー")</f>
        <v>サントリー</v>
      </c>
      <c r="C17" s="29" t="str">
        <f>IFERROR(__xludf.DUMMYFUNCTION("""COMPUTED_VALUE"""),"サントリー")</f>
        <v>サントリー</v>
      </c>
      <c r="D17" s="29"/>
      <c r="E17" s="29" t="str">
        <f>IFERROR(__xludf.DUMMYFUNCTION("""COMPUTED_VALUE"""),"ブレンデッド")</f>
        <v>ブレンデッド</v>
      </c>
      <c r="F17" s="29"/>
      <c r="G17" s="29" t="str">
        <f>IFERROR(__xludf.DUMMYFUNCTION("""COMPUTED_VALUE"""),"サントリーオールド")</f>
        <v>サントリーオールド</v>
      </c>
      <c r="H17" s="29"/>
      <c r="I17" s="29"/>
      <c r="J17" s="29"/>
      <c r="K17" s="29"/>
      <c r="L17" s="29" t="str">
        <f>IFERROR(__xludf.DUMMYFUNCTION("""COMPUTED_VALUE"""),"✓")</f>
        <v>✓</v>
      </c>
      <c r="M17" s="29"/>
      <c r="N17" s="30">
        <f>IFERROR(__xludf.DUMMYFUNCTION("""COMPUTED_VALUE"""),0.43)</f>
        <v>0.43</v>
      </c>
      <c r="O17" s="29"/>
      <c r="P17" s="31">
        <f>IFERROR(__xludf.DUMMYFUNCTION("""COMPUTED_VALUE"""),900.0)</f>
        <v>900</v>
      </c>
      <c r="Q17" s="31">
        <f>IFERROR(__xludf.DUMMYFUNCTION("""COMPUTED_VALUE"""),550.0)</f>
        <v>550</v>
      </c>
      <c r="R17" s="31"/>
      <c r="S17" s="32">
        <f>IFERROR(__xludf.DUMMYFUNCTION("""COMPUTED_VALUE"""),45136.0)</f>
        <v>45136</v>
      </c>
      <c r="T17" s="29"/>
      <c r="U17" s="29"/>
      <c r="V17" s="29"/>
      <c r="W17" s="29"/>
    </row>
    <row r="18">
      <c r="A18" s="29" t="str">
        <f>IFERROR(__xludf.DUMMYFUNCTION("""COMPUTED_VALUE"""),"JP")</f>
        <v>JP</v>
      </c>
      <c r="B18" s="29" t="str">
        <f>IFERROR(__xludf.DUMMYFUNCTION("""COMPUTED_VALUE"""),"サントリー")</f>
        <v>サントリー</v>
      </c>
      <c r="C18" s="29" t="str">
        <f>IFERROR(__xludf.DUMMYFUNCTION("""COMPUTED_VALUE"""),"サントリー")</f>
        <v>サントリー</v>
      </c>
      <c r="D18" s="29"/>
      <c r="E18" s="29" t="str">
        <f>IFERROR(__xludf.DUMMYFUNCTION("""COMPUTED_VALUE"""),"ブレンデッド")</f>
        <v>ブレンデッド</v>
      </c>
      <c r="F18" s="29"/>
      <c r="G18" s="29" t="str">
        <f>IFERROR(__xludf.DUMMYFUNCTION("""COMPUTED_VALUE"""),"スペシャルリザーブ")</f>
        <v>スペシャルリザーブ</v>
      </c>
      <c r="H18" s="29"/>
      <c r="I18" s="29"/>
      <c r="J18" s="29"/>
      <c r="K18" s="29"/>
      <c r="L18" s="29" t="str">
        <f>IFERROR(__xludf.DUMMYFUNCTION("""COMPUTED_VALUE"""),"✓")</f>
        <v>✓</v>
      </c>
      <c r="M18" s="29"/>
      <c r="N18" s="30">
        <f>IFERROR(__xludf.DUMMYFUNCTION("""COMPUTED_VALUE"""),0.4)</f>
        <v>0.4</v>
      </c>
      <c r="O18" s="29"/>
      <c r="P18" s="31">
        <f>IFERROR(__xludf.DUMMYFUNCTION("""COMPUTED_VALUE"""),1000.0)</f>
        <v>1000</v>
      </c>
      <c r="Q18" s="31">
        <f>IFERROR(__xludf.DUMMYFUNCTION("""COMPUTED_VALUE"""),600.0)</f>
        <v>600</v>
      </c>
      <c r="R18" s="31"/>
      <c r="S18" s="32">
        <f>IFERROR(__xludf.DUMMYFUNCTION("""COMPUTED_VALUE"""),45601.0)</f>
        <v>45601</v>
      </c>
      <c r="T18" s="29"/>
      <c r="U18" s="29"/>
      <c r="V18" s="29"/>
      <c r="W18" s="29"/>
    </row>
    <row r="19">
      <c r="A19" s="29" t="str">
        <f>IFERROR(__xludf.DUMMYFUNCTION("""COMPUTED_VALUE"""),"JP")</f>
        <v>JP</v>
      </c>
      <c r="B19" s="29" t="str">
        <f>IFERROR(__xludf.DUMMYFUNCTION("""COMPUTED_VALUE"""),"サントリー")</f>
        <v>サントリー</v>
      </c>
      <c r="C19" s="29" t="str">
        <f>IFERROR(__xludf.DUMMYFUNCTION("""COMPUTED_VALUE"""),"サントリー")</f>
        <v>サントリー</v>
      </c>
      <c r="D19" s="29"/>
      <c r="E19" s="29" t="str">
        <f>IFERROR(__xludf.DUMMYFUNCTION("""COMPUTED_VALUE"""),"ブレンデッド")</f>
        <v>ブレンデッド</v>
      </c>
      <c r="F19" s="29"/>
      <c r="G19" s="29" t="str">
        <f>IFERROR(__xludf.DUMMYFUNCTION("""COMPUTED_VALUE"""),"ローヤル")</f>
        <v>ローヤル</v>
      </c>
      <c r="H19" s="29"/>
      <c r="I19" s="29"/>
      <c r="J19" s="29"/>
      <c r="K19" s="29"/>
      <c r="L19" s="29" t="str">
        <f>IFERROR(__xludf.DUMMYFUNCTION("""COMPUTED_VALUE"""),"✓")</f>
        <v>✓</v>
      </c>
      <c r="M19" s="29"/>
      <c r="N19" s="30">
        <f>IFERROR(__xludf.DUMMYFUNCTION("""COMPUTED_VALUE"""),0.43)</f>
        <v>0.43</v>
      </c>
      <c r="O19" s="29"/>
      <c r="P19" s="31">
        <f>IFERROR(__xludf.DUMMYFUNCTION("""COMPUTED_VALUE"""),1000.0)</f>
        <v>1000</v>
      </c>
      <c r="Q19" s="31">
        <f>IFERROR(__xludf.DUMMYFUNCTION("""COMPUTED_VALUE"""),600.0)</f>
        <v>600</v>
      </c>
      <c r="R19" s="31"/>
      <c r="S19" s="32">
        <f>IFERROR(__xludf.DUMMYFUNCTION("""COMPUTED_VALUE"""),45598.0)</f>
        <v>45598</v>
      </c>
      <c r="T19" s="29"/>
      <c r="U19" s="29"/>
      <c r="V19" s="29"/>
      <c r="W19" s="29"/>
    </row>
    <row r="20">
      <c r="A20" s="29" t="str">
        <f>IFERROR(__xludf.DUMMYFUNCTION("""COMPUTED_VALUE"""),"JP")</f>
        <v>JP</v>
      </c>
      <c r="B20" s="29" t="str">
        <f>IFERROR(__xludf.DUMMYFUNCTION("""COMPUTED_VALUE"""),"サントリー")</f>
        <v>サントリー</v>
      </c>
      <c r="C20" s="29" t="str">
        <f>IFERROR(__xludf.DUMMYFUNCTION("""COMPUTED_VALUE"""),"サントリー")</f>
        <v>サントリー</v>
      </c>
      <c r="D20" s="29"/>
      <c r="E20" s="29" t="str">
        <f>IFERROR(__xludf.DUMMYFUNCTION("""COMPUTED_VALUE"""),"ブレンデッド")</f>
        <v>ブレンデッド</v>
      </c>
      <c r="F20" s="29"/>
      <c r="G20" s="29" t="str">
        <f>IFERROR(__xludf.DUMMYFUNCTION("""COMPUTED_VALUE"""),"ホワイト")</f>
        <v>ホワイト</v>
      </c>
      <c r="H20" s="29"/>
      <c r="I20" s="29"/>
      <c r="J20" s="29"/>
      <c r="K20" s="29"/>
      <c r="L20" s="29" t="str">
        <f>IFERROR(__xludf.DUMMYFUNCTION("""COMPUTED_VALUE"""),"✓")</f>
        <v>✓</v>
      </c>
      <c r="M20" s="29"/>
      <c r="N20" s="30">
        <f>IFERROR(__xludf.DUMMYFUNCTION("""COMPUTED_VALUE"""),0.4)</f>
        <v>0.4</v>
      </c>
      <c r="O20" s="29"/>
      <c r="P20" s="31">
        <f>IFERROR(__xludf.DUMMYFUNCTION("""COMPUTED_VALUE"""),900.0)</f>
        <v>900</v>
      </c>
      <c r="Q20" s="31">
        <f>IFERROR(__xludf.DUMMYFUNCTION("""COMPUTED_VALUE"""),550.0)</f>
        <v>550</v>
      </c>
      <c r="R20" s="31"/>
      <c r="S20" s="32"/>
      <c r="T20" s="29"/>
      <c r="U20" s="29"/>
      <c r="V20" s="29"/>
      <c r="W20" s="29"/>
    </row>
    <row r="21" ht="15.75" customHeight="1">
      <c r="A21" s="29" t="str">
        <f>IFERROR(__xludf.DUMMYFUNCTION("""COMPUTED_VALUE"""),"JP")</f>
        <v>JP</v>
      </c>
      <c r="B21" s="29" t="str">
        <f>IFERROR(__xludf.DUMMYFUNCTION("""COMPUTED_VALUE"""),"ニッカ")</f>
        <v>ニッカ</v>
      </c>
      <c r="C21" s="29" t="str">
        <f>IFERROR(__xludf.DUMMYFUNCTION("""COMPUTED_VALUE"""),"ニッカ")</f>
        <v>ニッカ</v>
      </c>
      <c r="D21" s="29" t="str">
        <f>IFERROR(__xludf.DUMMYFUNCTION("""COMPUTED_VALUE"""),"余市")</f>
        <v>余市</v>
      </c>
      <c r="E21" s="29" t="str">
        <f>IFERROR(__xludf.DUMMYFUNCTION("""COMPUTED_VALUE"""),"シングルモルト")</f>
        <v>シングルモルト</v>
      </c>
      <c r="F21" s="29"/>
      <c r="G21" s="29" t="str">
        <f>IFERROR(__xludf.DUMMYFUNCTION("""COMPUTED_VALUE"""),"余市")</f>
        <v>余市</v>
      </c>
      <c r="H21" s="29"/>
      <c r="I21" s="29"/>
      <c r="J21" s="29"/>
      <c r="K21" s="29"/>
      <c r="L21" s="29" t="str">
        <f>IFERROR(__xludf.DUMMYFUNCTION("""COMPUTED_VALUE"""),"✓")</f>
        <v>✓</v>
      </c>
      <c r="M21" s="29"/>
      <c r="N21" s="30">
        <f>IFERROR(__xludf.DUMMYFUNCTION("""COMPUTED_VALUE"""),0.45)</f>
        <v>0.45</v>
      </c>
      <c r="O21" s="29"/>
      <c r="P21" s="31">
        <f>IFERROR(__xludf.DUMMYFUNCTION("""COMPUTED_VALUE"""),1300.0)</f>
        <v>1300</v>
      </c>
      <c r="Q21" s="31">
        <f>IFERROR(__xludf.DUMMYFUNCTION("""COMPUTED_VALUE"""),750.0)</f>
        <v>750</v>
      </c>
      <c r="R21" s="31"/>
      <c r="S21" s="32"/>
      <c r="T21" s="29"/>
      <c r="U21" s="29"/>
      <c r="V21" s="29"/>
      <c r="W21" s="29"/>
    </row>
    <row r="22" ht="15.75" customHeight="1">
      <c r="A22" s="29" t="str">
        <f>IFERROR(__xludf.DUMMYFUNCTION("""COMPUTED_VALUE"""),"JP")</f>
        <v>JP</v>
      </c>
      <c r="B22" s="29" t="str">
        <f>IFERROR(__xludf.DUMMYFUNCTION("""COMPUTED_VALUE"""),"ニッカ")</f>
        <v>ニッカ</v>
      </c>
      <c r="C22" s="29" t="str">
        <f>IFERROR(__xludf.DUMMYFUNCTION("""COMPUTED_VALUE"""),"ニッカ")</f>
        <v>ニッカ</v>
      </c>
      <c r="D22" s="29" t="str">
        <f>IFERROR(__xludf.DUMMYFUNCTION("""COMPUTED_VALUE"""),"余市")</f>
        <v>余市</v>
      </c>
      <c r="E22" s="29" t="str">
        <f>IFERROR(__xludf.DUMMYFUNCTION("""COMPUTED_VALUE"""),"シングルモルト")</f>
        <v>シングルモルト</v>
      </c>
      <c r="F22" s="29"/>
      <c r="G22" s="29" t="str">
        <f>IFERROR(__xludf.DUMMYFUNCTION("""COMPUTED_VALUE"""),"余市 10年")</f>
        <v>余市 10年</v>
      </c>
      <c r="H22" s="29"/>
      <c r="I22" s="29"/>
      <c r="J22" s="29"/>
      <c r="K22" s="29"/>
      <c r="L22" s="29" t="str">
        <f>IFERROR(__xludf.DUMMYFUNCTION("""COMPUTED_VALUE"""),"✓")</f>
        <v>✓</v>
      </c>
      <c r="M22" s="29"/>
      <c r="N22" s="30">
        <f>IFERROR(__xludf.DUMMYFUNCTION("""COMPUTED_VALUE"""),0.45)</f>
        <v>0.45</v>
      </c>
      <c r="O22" s="29"/>
      <c r="P22" s="31">
        <f>IFERROR(__xludf.DUMMYFUNCTION("""COMPUTED_VALUE"""),2400.0)</f>
        <v>2400</v>
      </c>
      <c r="Q22" s="31">
        <f>IFERROR(__xludf.DUMMYFUNCTION("""COMPUTED_VALUE"""),1300.0)</f>
        <v>1300</v>
      </c>
      <c r="R22" s="31"/>
      <c r="S22" s="32">
        <f>IFERROR(__xludf.DUMMYFUNCTION("""COMPUTED_VALUE"""),45041.0)</f>
        <v>45041</v>
      </c>
      <c r="T22" s="29"/>
      <c r="U22" s="29"/>
      <c r="V22" s="29"/>
      <c r="W22" s="29"/>
    </row>
    <row r="23" ht="15.75" customHeight="1">
      <c r="A23" s="29" t="str">
        <f>IFERROR(__xludf.DUMMYFUNCTION("""COMPUTED_VALUE"""),"JP")</f>
        <v>JP</v>
      </c>
      <c r="B23" s="29" t="str">
        <f>IFERROR(__xludf.DUMMYFUNCTION("""COMPUTED_VALUE"""),"ニッカ")</f>
        <v>ニッカ</v>
      </c>
      <c r="C23" s="29" t="str">
        <f>IFERROR(__xludf.DUMMYFUNCTION("""COMPUTED_VALUE"""),"ニッカ")</f>
        <v>ニッカ</v>
      </c>
      <c r="D23" s="29" t="str">
        <f>IFERROR(__xludf.DUMMYFUNCTION("""COMPUTED_VALUE"""),"余市")</f>
        <v>余市</v>
      </c>
      <c r="E23" s="29" t="str">
        <f>IFERROR(__xludf.DUMMYFUNCTION("""COMPUTED_VALUE"""),"シングルモルト")</f>
        <v>シングルモルト</v>
      </c>
      <c r="F23" s="29"/>
      <c r="G23" s="29" t="str">
        <f>IFERROR(__xludf.DUMMYFUNCTION("""COMPUTED_VALUE"""),"余市 グランデ")</f>
        <v>余市 グランデ</v>
      </c>
      <c r="H23" s="29" t="str">
        <f>IFERROR(__xludf.DUMMYFUNCTION("""COMPUTED_VALUE"""),"免税店限定")</f>
        <v>免税店限定</v>
      </c>
      <c r="I23" s="29"/>
      <c r="J23" s="29"/>
      <c r="K23" s="29"/>
      <c r="L23" s="29" t="str">
        <f>IFERROR(__xludf.DUMMYFUNCTION("""COMPUTED_VALUE"""),"✓")</f>
        <v>✓</v>
      </c>
      <c r="M23" s="29"/>
      <c r="N23" s="30">
        <f>IFERROR(__xludf.DUMMYFUNCTION("""COMPUTED_VALUE"""),0.48)</f>
        <v>0.48</v>
      </c>
      <c r="O23" s="29"/>
      <c r="P23" s="31">
        <f>IFERROR(__xludf.DUMMYFUNCTION("""COMPUTED_VALUE"""),2200.0)</f>
        <v>2200</v>
      </c>
      <c r="Q23" s="31">
        <f>IFERROR(__xludf.DUMMYFUNCTION("""COMPUTED_VALUE"""),1200.0)</f>
        <v>1200</v>
      </c>
      <c r="R23" s="31"/>
      <c r="S23" s="32">
        <f>IFERROR(__xludf.DUMMYFUNCTION("""COMPUTED_VALUE"""),44970.0)</f>
        <v>44970</v>
      </c>
      <c r="T23" s="29"/>
      <c r="U23" s="29"/>
      <c r="V23" s="29"/>
      <c r="W23" s="29"/>
    </row>
    <row r="24" ht="15.75" customHeight="1">
      <c r="A24" s="29" t="str">
        <f>IFERROR(__xludf.DUMMYFUNCTION("""COMPUTED_VALUE"""),"JP")</f>
        <v>JP</v>
      </c>
      <c r="B24" s="29" t="str">
        <f>IFERROR(__xludf.DUMMYFUNCTION("""COMPUTED_VALUE"""),"ニッカ")</f>
        <v>ニッカ</v>
      </c>
      <c r="C24" s="29" t="str">
        <f>IFERROR(__xludf.DUMMYFUNCTION("""COMPUTED_VALUE"""),"ニッカ")</f>
        <v>ニッカ</v>
      </c>
      <c r="D24" s="29" t="str">
        <f>IFERROR(__xludf.DUMMYFUNCTION("""COMPUTED_VALUE"""),"余市")</f>
        <v>余市</v>
      </c>
      <c r="E24" s="29" t="str">
        <f>IFERROR(__xludf.DUMMYFUNCTION("""COMPUTED_VALUE"""),"シングルモルト")</f>
        <v>シングルモルト</v>
      </c>
      <c r="F24" s="29"/>
      <c r="G24" s="29" t="str">
        <f>IFERROR(__xludf.DUMMYFUNCTION("""COMPUTED_VALUE"""),"余市 ウッディ＆バニリック")</f>
        <v>余市 ウッディ＆バニリック</v>
      </c>
      <c r="H24" s="29" t="str">
        <f>IFERROR(__xludf.DUMMYFUNCTION("""COMPUTED_VALUE"""),"蒸溜所限定")</f>
        <v>蒸溜所限定</v>
      </c>
      <c r="I24" s="29"/>
      <c r="J24" s="29"/>
      <c r="K24" s="29"/>
      <c r="L24" s="29" t="str">
        <f>IFERROR(__xludf.DUMMYFUNCTION("""COMPUTED_VALUE"""),"✓")</f>
        <v>✓</v>
      </c>
      <c r="M24" s="29"/>
      <c r="N24" s="30">
        <f>IFERROR(__xludf.DUMMYFUNCTION("""COMPUTED_VALUE"""),0.55)</f>
        <v>0.55</v>
      </c>
      <c r="O24" s="29"/>
      <c r="P24" s="31">
        <f>IFERROR(__xludf.DUMMYFUNCTION("""COMPUTED_VALUE"""),2000.0)</f>
        <v>2000</v>
      </c>
      <c r="Q24" s="31">
        <f>IFERROR(__xludf.DUMMYFUNCTION("""COMPUTED_VALUE"""),1100.0)</f>
        <v>1100</v>
      </c>
      <c r="R24" s="31"/>
      <c r="S24" s="32">
        <f>IFERROR(__xludf.DUMMYFUNCTION("""COMPUTED_VALUE"""),45615.0)</f>
        <v>45615</v>
      </c>
      <c r="T24" s="29"/>
      <c r="U24" s="29"/>
      <c r="V24" s="29"/>
      <c r="W24" s="29"/>
    </row>
    <row r="25" ht="15.75" customHeight="1">
      <c r="A25" s="29" t="str">
        <f>IFERROR(__xludf.DUMMYFUNCTION("""COMPUTED_VALUE"""),"JP")</f>
        <v>JP</v>
      </c>
      <c r="B25" s="29" t="str">
        <f>IFERROR(__xludf.DUMMYFUNCTION("""COMPUTED_VALUE"""),"ニッカ")</f>
        <v>ニッカ</v>
      </c>
      <c r="C25" s="29" t="str">
        <f>IFERROR(__xludf.DUMMYFUNCTION("""COMPUTED_VALUE"""),"ニッカ")</f>
        <v>ニッカ</v>
      </c>
      <c r="D25" s="29" t="str">
        <f>IFERROR(__xludf.DUMMYFUNCTION("""COMPUTED_VALUE"""),"余市")</f>
        <v>余市</v>
      </c>
      <c r="E25" s="29" t="str">
        <f>IFERROR(__xludf.DUMMYFUNCTION("""COMPUTED_VALUE"""),"シングルモルト")</f>
        <v>シングルモルト</v>
      </c>
      <c r="F25" s="29"/>
      <c r="G25" s="29" t="str">
        <f>IFERROR(__xludf.DUMMYFUNCTION("""COMPUTED_VALUE"""),"余市 シェリー＆スイート")</f>
        <v>余市 シェリー＆スイート</v>
      </c>
      <c r="H25" s="29" t="str">
        <f>IFERROR(__xludf.DUMMYFUNCTION("""COMPUTED_VALUE"""),"蒸溜所限定")</f>
        <v>蒸溜所限定</v>
      </c>
      <c r="I25" s="29"/>
      <c r="J25" s="29"/>
      <c r="K25" s="29"/>
      <c r="L25" s="29" t="str">
        <f>IFERROR(__xludf.DUMMYFUNCTION("""COMPUTED_VALUE"""),"✓")</f>
        <v>✓</v>
      </c>
      <c r="M25" s="29"/>
      <c r="N25" s="30">
        <f>IFERROR(__xludf.DUMMYFUNCTION("""COMPUTED_VALUE"""),0.55)</f>
        <v>0.55</v>
      </c>
      <c r="O25" s="29"/>
      <c r="P25" s="31">
        <f>IFERROR(__xludf.DUMMYFUNCTION("""COMPUTED_VALUE"""),2000.0)</f>
        <v>2000</v>
      </c>
      <c r="Q25" s="31">
        <f>IFERROR(__xludf.DUMMYFUNCTION("""COMPUTED_VALUE"""),1100.0)</f>
        <v>1100</v>
      </c>
      <c r="R25" s="31"/>
      <c r="S25" s="32">
        <f>IFERROR(__xludf.DUMMYFUNCTION("""COMPUTED_VALUE"""),45614.0)</f>
        <v>45614</v>
      </c>
      <c r="T25" s="29"/>
      <c r="U25" s="29"/>
      <c r="V25" s="29"/>
      <c r="W25" s="29"/>
    </row>
    <row r="26" ht="15.75" customHeight="1">
      <c r="A26" s="29" t="str">
        <f>IFERROR(__xludf.DUMMYFUNCTION("""COMPUTED_VALUE"""),"JP")</f>
        <v>JP</v>
      </c>
      <c r="B26" s="29" t="str">
        <f>IFERROR(__xludf.DUMMYFUNCTION("""COMPUTED_VALUE"""),"ニッカ")</f>
        <v>ニッカ</v>
      </c>
      <c r="C26" s="29" t="str">
        <f>IFERROR(__xludf.DUMMYFUNCTION("""COMPUTED_VALUE"""),"ニッカ")</f>
        <v>ニッカ</v>
      </c>
      <c r="D26" s="29" t="str">
        <f>IFERROR(__xludf.DUMMYFUNCTION("""COMPUTED_VALUE"""),"余市")</f>
        <v>余市</v>
      </c>
      <c r="E26" s="29" t="str">
        <f>IFERROR(__xludf.DUMMYFUNCTION("""COMPUTED_VALUE"""),"シングルモルト")</f>
        <v>シングルモルト</v>
      </c>
      <c r="F26" s="29"/>
      <c r="G26" s="29" t="str">
        <f>IFERROR(__xludf.DUMMYFUNCTION("""COMPUTED_VALUE"""),"余市 ピーティ＆ソルティ")</f>
        <v>余市 ピーティ＆ソルティ</v>
      </c>
      <c r="H26" s="29" t="str">
        <f>IFERROR(__xludf.DUMMYFUNCTION("""COMPUTED_VALUE"""),"蒸溜所限定")</f>
        <v>蒸溜所限定</v>
      </c>
      <c r="I26" s="29"/>
      <c r="J26" s="29"/>
      <c r="K26" s="29"/>
      <c r="L26" s="29" t="str">
        <f>IFERROR(__xludf.DUMMYFUNCTION("""COMPUTED_VALUE"""),"✓")</f>
        <v>✓</v>
      </c>
      <c r="M26" s="29"/>
      <c r="N26" s="30">
        <f>IFERROR(__xludf.DUMMYFUNCTION("""COMPUTED_VALUE"""),0.55)</f>
        <v>0.55</v>
      </c>
      <c r="O26" s="29"/>
      <c r="P26" s="31">
        <f>IFERROR(__xludf.DUMMYFUNCTION("""COMPUTED_VALUE"""),2000.0)</f>
        <v>2000</v>
      </c>
      <c r="Q26" s="31">
        <f>IFERROR(__xludf.DUMMYFUNCTION("""COMPUTED_VALUE"""),1100.0)</f>
        <v>1100</v>
      </c>
      <c r="R26" s="31"/>
      <c r="S26" s="32">
        <f>IFERROR(__xludf.DUMMYFUNCTION("""COMPUTED_VALUE"""),45613.0)</f>
        <v>45613</v>
      </c>
      <c r="T26" s="29"/>
      <c r="U26" s="29"/>
      <c r="V26" s="29"/>
      <c r="W26" s="29"/>
    </row>
    <row r="27" ht="15.75" customHeight="1">
      <c r="A27" s="29" t="str">
        <f>IFERROR(__xludf.DUMMYFUNCTION("""COMPUTED_VALUE"""),"JP")</f>
        <v>JP</v>
      </c>
      <c r="B27" s="29" t="str">
        <f>IFERROR(__xludf.DUMMYFUNCTION("""COMPUTED_VALUE"""),"ニッカ")</f>
        <v>ニッカ</v>
      </c>
      <c r="C27" s="29" t="str">
        <f>IFERROR(__xludf.DUMMYFUNCTION("""COMPUTED_VALUE"""),"ニッカ")</f>
        <v>ニッカ</v>
      </c>
      <c r="D27" s="29" t="str">
        <f>IFERROR(__xludf.DUMMYFUNCTION("""COMPUTED_VALUE"""),"宮城峡")</f>
        <v>宮城峡</v>
      </c>
      <c r="E27" s="29" t="str">
        <f>IFERROR(__xludf.DUMMYFUNCTION("""COMPUTED_VALUE"""),"シングルモルト")</f>
        <v>シングルモルト</v>
      </c>
      <c r="F27" s="29"/>
      <c r="G27" s="29" t="str">
        <f>IFERROR(__xludf.DUMMYFUNCTION("""COMPUTED_VALUE"""),"宮城峡")</f>
        <v>宮城峡</v>
      </c>
      <c r="H27" s="29"/>
      <c r="I27" s="29"/>
      <c r="J27" s="29"/>
      <c r="K27" s="29"/>
      <c r="L27" s="29" t="str">
        <f>IFERROR(__xludf.DUMMYFUNCTION("""COMPUTED_VALUE"""),"✓")</f>
        <v>✓</v>
      </c>
      <c r="M27" s="29"/>
      <c r="N27" s="30">
        <f>IFERROR(__xludf.DUMMYFUNCTION("""COMPUTED_VALUE"""),0.45)</f>
        <v>0.45</v>
      </c>
      <c r="O27" s="29"/>
      <c r="P27" s="31">
        <f>IFERROR(__xludf.DUMMYFUNCTION("""COMPUTED_VALUE"""),1300.0)</f>
        <v>1300</v>
      </c>
      <c r="Q27" s="31">
        <f>IFERROR(__xludf.DUMMYFUNCTION("""COMPUTED_VALUE"""),750.0)</f>
        <v>750</v>
      </c>
      <c r="R27" s="31"/>
      <c r="S27" s="32"/>
      <c r="T27" s="29"/>
      <c r="U27" s="29"/>
      <c r="V27" s="29"/>
      <c r="W27" s="29"/>
    </row>
    <row r="28" ht="15.75" customHeight="1">
      <c r="A28" s="29" t="str">
        <f>IFERROR(__xludf.DUMMYFUNCTION("""COMPUTED_VALUE"""),"JP")</f>
        <v>JP</v>
      </c>
      <c r="B28" s="29" t="str">
        <f>IFERROR(__xludf.DUMMYFUNCTION("""COMPUTED_VALUE"""),"ニッカ")</f>
        <v>ニッカ</v>
      </c>
      <c r="C28" s="29" t="str">
        <f>IFERROR(__xludf.DUMMYFUNCTION("""COMPUTED_VALUE"""),"ニッカ")</f>
        <v>ニッカ</v>
      </c>
      <c r="D28" s="29" t="str">
        <f>IFERROR(__xludf.DUMMYFUNCTION("""COMPUTED_VALUE"""),"宮城峡")</f>
        <v>宮城峡</v>
      </c>
      <c r="E28" s="29" t="str">
        <f>IFERROR(__xludf.DUMMYFUNCTION("""COMPUTED_VALUE"""),"シングルモルト")</f>
        <v>シングルモルト</v>
      </c>
      <c r="F28" s="29"/>
      <c r="G28" s="29" t="str">
        <f>IFERROR(__xludf.DUMMYFUNCTION("""COMPUTED_VALUE"""),"宮城峡 グランデ")</f>
        <v>宮城峡 グランデ</v>
      </c>
      <c r="H28" s="29" t="str">
        <f>IFERROR(__xludf.DUMMYFUNCTION("""COMPUTED_VALUE"""),"免税店限定")</f>
        <v>免税店限定</v>
      </c>
      <c r="I28" s="29"/>
      <c r="J28" s="29"/>
      <c r="K28" s="29"/>
      <c r="L28" s="29" t="str">
        <f>IFERROR(__xludf.DUMMYFUNCTION("""COMPUTED_VALUE"""),"✓")</f>
        <v>✓</v>
      </c>
      <c r="M28" s="29"/>
      <c r="N28" s="30">
        <f>IFERROR(__xludf.DUMMYFUNCTION("""COMPUTED_VALUE"""),0.48)</f>
        <v>0.48</v>
      </c>
      <c r="O28" s="29"/>
      <c r="P28" s="31">
        <f>IFERROR(__xludf.DUMMYFUNCTION("""COMPUTED_VALUE"""),2200.0)</f>
        <v>2200</v>
      </c>
      <c r="Q28" s="31">
        <f>IFERROR(__xludf.DUMMYFUNCTION("""COMPUTED_VALUE"""),1200.0)</f>
        <v>1200</v>
      </c>
      <c r="R28" s="31"/>
      <c r="S28" s="32">
        <f>IFERROR(__xludf.DUMMYFUNCTION("""COMPUTED_VALUE"""),44971.0)</f>
        <v>44971</v>
      </c>
      <c r="T28" s="29"/>
      <c r="U28" s="29"/>
      <c r="V28" s="29"/>
      <c r="W28" s="29"/>
    </row>
    <row r="29" ht="15.75" customHeight="1">
      <c r="A29" s="29" t="str">
        <f>IFERROR(__xludf.DUMMYFUNCTION("""COMPUTED_VALUE"""),"JP")</f>
        <v>JP</v>
      </c>
      <c r="B29" s="29" t="str">
        <f>IFERROR(__xludf.DUMMYFUNCTION("""COMPUTED_VALUE"""),"ニッカ")</f>
        <v>ニッカ</v>
      </c>
      <c r="C29" s="29" t="str">
        <f>IFERROR(__xludf.DUMMYFUNCTION("""COMPUTED_VALUE"""),"ニッカ")</f>
        <v>ニッカ</v>
      </c>
      <c r="D29" s="29" t="str">
        <f>IFERROR(__xludf.DUMMYFUNCTION("""COMPUTED_VALUE"""),"宮城峡")</f>
        <v>宮城峡</v>
      </c>
      <c r="E29" s="29" t="str">
        <f>IFERROR(__xludf.DUMMYFUNCTION("""COMPUTED_VALUE"""),"シングルモルト")</f>
        <v>シングルモルト</v>
      </c>
      <c r="F29" s="29"/>
      <c r="G29" s="29" t="str">
        <f>IFERROR(__xludf.DUMMYFUNCTION("""COMPUTED_VALUE"""),"宮城峡 フルーティ&amp;リッチ")</f>
        <v>宮城峡 フルーティ&amp;リッチ</v>
      </c>
      <c r="H29" s="29" t="str">
        <f>IFERROR(__xludf.DUMMYFUNCTION("""COMPUTED_VALUE"""),"蒸溜所限定")</f>
        <v>蒸溜所限定</v>
      </c>
      <c r="I29" s="29"/>
      <c r="J29" s="29"/>
      <c r="K29" s="29"/>
      <c r="L29" s="29" t="str">
        <f>IFERROR(__xludf.DUMMYFUNCTION("""COMPUTED_VALUE"""),"✓")</f>
        <v>✓</v>
      </c>
      <c r="M29" s="29"/>
      <c r="N29" s="30">
        <f>IFERROR(__xludf.DUMMYFUNCTION("""COMPUTED_VALUE"""),0.55)</f>
        <v>0.55</v>
      </c>
      <c r="O29" s="29"/>
      <c r="P29" s="31">
        <f>IFERROR(__xludf.DUMMYFUNCTION("""COMPUTED_VALUE"""),2000.0)</f>
        <v>2000</v>
      </c>
      <c r="Q29" s="31">
        <f>IFERROR(__xludf.DUMMYFUNCTION("""COMPUTED_VALUE"""),1100.0)</f>
        <v>1100</v>
      </c>
      <c r="R29" s="31"/>
      <c r="S29" s="32">
        <f>IFERROR(__xludf.DUMMYFUNCTION("""COMPUTED_VALUE"""),45304.0)</f>
        <v>45304</v>
      </c>
      <c r="T29" s="29"/>
      <c r="U29" s="29"/>
      <c r="V29" s="29"/>
      <c r="W29" s="29"/>
    </row>
    <row r="30" ht="15.75" customHeight="1">
      <c r="A30" s="29" t="str">
        <f>IFERROR(__xludf.DUMMYFUNCTION("""COMPUTED_VALUE"""),"JP")</f>
        <v>JP</v>
      </c>
      <c r="B30" s="29" t="str">
        <f>IFERROR(__xludf.DUMMYFUNCTION("""COMPUTED_VALUE"""),"ニッカ")</f>
        <v>ニッカ</v>
      </c>
      <c r="C30" s="29" t="str">
        <f>IFERROR(__xludf.DUMMYFUNCTION("""COMPUTED_VALUE"""),"ニッカ")</f>
        <v>ニッカ</v>
      </c>
      <c r="D30" s="29" t="str">
        <f>IFERROR(__xludf.DUMMYFUNCTION("""COMPUTED_VALUE"""),"宮城峡")</f>
        <v>宮城峡</v>
      </c>
      <c r="E30" s="29" t="str">
        <f>IFERROR(__xludf.DUMMYFUNCTION("""COMPUTED_VALUE"""),"シングルモルト")</f>
        <v>シングルモルト</v>
      </c>
      <c r="F30" s="29"/>
      <c r="G30" s="29" t="str">
        <f>IFERROR(__xludf.DUMMYFUNCTION("""COMPUTED_VALUE"""),"宮城峡 モルティ&amp;ソフト")</f>
        <v>宮城峡 モルティ&amp;ソフト</v>
      </c>
      <c r="H30" s="29" t="str">
        <f>IFERROR(__xludf.DUMMYFUNCTION("""COMPUTED_VALUE"""),"蒸溜所限定")</f>
        <v>蒸溜所限定</v>
      </c>
      <c r="I30" s="29"/>
      <c r="J30" s="29"/>
      <c r="K30" s="29"/>
      <c r="L30" s="29" t="str">
        <f>IFERROR(__xludf.DUMMYFUNCTION("""COMPUTED_VALUE"""),"✓")</f>
        <v>✓</v>
      </c>
      <c r="M30" s="29"/>
      <c r="N30" s="30">
        <f>IFERROR(__xludf.DUMMYFUNCTION("""COMPUTED_VALUE"""),0.55)</f>
        <v>0.55</v>
      </c>
      <c r="O30" s="29"/>
      <c r="P30" s="31">
        <f>IFERROR(__xludf.DUMMYFUNCTION("""COMPUTED_VALUE"""),2000.0)</f>
        <v>2000</v>
      </c>
      <c r="Q30" s="31">
        <f>IFERROR(__xludf.DUMMYFUNCTION("""COMPUTED_VALUE"""),1100.0)</f>
        <v>1100</v>
      </c>
      <c r="R30" s="31"/>
      <c r="S30" s="32">
        <f>IFERROR(__xludf.DUMMYFUNCTION("""COMPUTED_VALUE"""),45307.0)</f>
        <v>45307</v>
      </c>
      <c r="T30" s="29"/>
      <c r="U30" s="29"/>
      <c r="V30" s="29"/>
      <c r="W30" s="29"/>
    </row>
    <row r="31" ht="15.75" customHeight="1">
      <c r="A31" s="29" t="str">
        <f>IFERROR(__xludf.DUMMYFUNCTION("""COMPUTED_VALUE"""),"JP")</f>
        <v>JP</v>
      </c>
      <c r="B31" s="29" t="str">
        <f>IFERROR(__xludf.DUMMYFUNCTION("""COMPUTED_VALUE"""),"ニッカ")</f>
        <v>ニッカ</v>
      </c>
      <c r="C31" s="29" t="str">
        <f>IFERROR(__xludf.DUMMYFUNCTION("""COMPUTED_VALUE"""),"ニッカ")</f>
        <v>ニッカ</v>
      </c>
      <c r="D31" s="29" t="str">
        <f>IFERROR(__xludf.DUMMYFUNCTION("""COMPUTED_VALUE"""),"宮城峡")</f>
        <v>宮城峡</v>
      </c>
      <c r="E31" s="29" t="str">
        <f>IFERROR(__xludf.DUMMYFUNCTION("""COMPUTED_VALUE"""),"シングルモルト")</f>
        <v>シングルモルト</v>
      </c>
      <c r="F31" s="29"/>
      <c r="G31" s="29" t="str">
        <f>IFERROR(__xludf.DUMMYFUNCTION("""COMPUTED_VALUE"""),"宮城峡 シェリー&amp;スイート")</f>
        <v>宮城峡 シェリー&amp;スイート</v>
      </c>
      <c r="H31" s="29" t="str">
        <f>IFERROR(__xludf.DUMMYFUNCTION("""COMPUTED_VALUE"""),"蒸溜所限定")</f>
        <v>蒸溜所限定</v>
      </c>
      <c r="I31" s="29"/>
      <c r="J31" s="29"/>
      <c r="K31" s="29"/>
      <c r="L31" s="29" t="str">
        <f>IFERROR(__xludf.DUMMYFUNCTION("""COMPUTED_VALUE"""),"✓")</f>
        <v>✓</v>
      </c>
      <c r="M31" s="29"/>
      <c r="N31" s="30">
        <f>IFERROR(__xludf.DUMMYFUNCTION("""COMPUTED_VALUE"""),0.55)</f>
        <v>0.55</v>
      </c>
      <c r="O31" s="29"/>
      <c r="P31" s="31">
        <f>IFERROR(__xludf.DUMMYFUNCTION("""COMPUTED_VALUE"""),2000.0)</f>
        <v>2000</v>
      </c>
      <c r="Q31" s="31">
        <f>IFERROR(__xludf.DUMMYFUNCTION("""COMPUTED_VALUE"""),1100.0)</f>
        <v>1100</v>
      </c>
      <c r="R31" s="31"/>
      <c r="S31" s="32">
        <f>IFERROR(__xludf.DUMMYFUNCTION("""COMPUTED_VALUE"""),45308.0)</f>
        <v>45308</v>
      </c>
      <c r="T31" s="29"/>
      <c r="U31" s="29"/>
      <c r="V31" s="29"/>
      <c r="W31" s="29"/>
    </row>
    <row r="32" ht="15.75" customHeight="1">
      <c r="A32" s="29" t="str">
        <f>IFERROR(__xludf.DUMMYFUNCTION("""COMPUTED_VALUE"""),"JP")</f>
        <v>JP</v>
      </c>
      <c r="B32" s="29" t="str">
        <f>IFERROR(__xludf.DUMMYFUNCTION("""COMPUTED_VALUE"""),"ニッカ")</f>
        <v>ニッカ</v>
      </c>
      <c r="C32" s="29" t="str">
        <f>IFERROR(__xludf.DUMMYFUNCTION("""COMPUTED_VALUE"""),"ニッカ")</f>
        <v>ニッカ</v>
      </c>
      <c r="D32" s="29"/>
      <c r="E32" s="29" t="str">
        <f>IFERROR(__xludf.DUMMYFUNCTION("""COMPUTED_VALUE"""),"ブレンデッドモルト")</f>
        <v>ブレンデッドモルト</v>
      </c>
      <c r="F32" s="29"/>
      <c r="G32" s="29" t="str">
        <f>IFERROR(__xludf.DUMMYFUNCTION("""COMPUTED_VALUE"""),"竹鶴")</f>
        <v>竹鶴</v>
      </c>
      <c r="H32" s="29"/>
      <c r="I32" s="29"/>
      <c r="J32" s="29"/>
      <c r="K32" s="29"/>
      <c r="L32" s="29" t="str">
        <f>IFERROR(__xludf.DUMMYFUNCTION("""COMPUTED_VALUE"""),"✓")</f>
        <v>✓</v>
      </c>
      <c r="M32" s="29"/>
      <c r="N32" s="30">
        <f>IFERROR(__xludf.DUMMYFUNCTION("""COMPUTED_VALUE"""),0.43)</f>
        <v>0.43</v>
      </c>
      <c r="O32" s="29"/>
      <c r="P32" s="31">
        <f>IFERROR(__xludf.DUMMYFUNCTION("""COMPUTED_VALUE"""),1300.0)</f>
        <v>1300</v>
      </c>
      <c r="Q32" s="31">
        <f>IFERROR(__xludf.DUMMYFUNCTION("""COMPUTED_VALUE"""),750.0)</f>
        <v>750</v>
      </c>
      <c r="R32" s="31"/>
      <c r="S32" s="32">
        <f>IFERROR(__xludf.DUMMYFUNCTION("""COMPUTED_VALUE"""),45174.0)</f>
        <v>45174</v>
      </c>
      <c r="T32" s="29"/>
      <c r="U32" s="29"/>
      <c r="V32" s="29"/>
      <c r="W32" s="29"/>
    </row>
    <row r="33" ht="15.75" customHeight="1">
      <c r="A33" s="29" t="str">
        <f>IFERROR(__xludf.DUMMYFUNCTION("""COMPUTED_VALUE"""),"JP")</f>
        <v>JP</v>
      </c>
      <c r="B33" s="29" t="str">
        <f>IFERROR(__xludf.DUMMYFUNCTION("""COMPUTED_VALUE"""),"ニッカ")</f>
        <v>ニッカ</v>
      </c>
      <c r="C33" s="29" t="str">
        <f>IFERROR(__xludf.DUMMYFUNCTION("""COMPUTED_VALUE"""),"ニッカ")</f>
        <v>ニッカ</v>
      </c>
      <c r="D33" s="29"/>
      <c r="E33" s="29" t="str">
        <f>IFERROR(__xludf.DUMMYFUNCTION("""COMPUTED_VALUE"""),"ブレンデッドモルト")</f>
        <v>ブレンデッドモルト</v>
      </c>
      <c r="F33" s="29"/>
      <c r="G33" s="29" t="str">
        <f>IFERROR(__xludf.DUMMYFUNCTION("""COMPUTED_VALUE"""),"ピュアモルト ブラック")</f>
        <v>ピュアモルト ブラック</v>
      </c>
      <c r="H33" s="29" t="str">
        <f>IFERROR(__xludf.DUMMYFUNCTION("""COMPUTED_VALUE"""),"蒸溜所限定")</f>
        <v>蒸溜所限定</v>
      </c>
      <c r="I33" s="29"/>
      <c r="J33" s="29"/>
      <c r="K33" s="29"/>
      <c r="L33" s="29" t="str">
        <f>IFERROR(__xludf.DUMMYFUNCTION("""COMPUTED_VALUE"""),"✓")</f>
        <v>✓</v>
      </c>
      <c r="M33" s="29"/>
      <c r="N33" s="30">
        <f>IFERROR(__xludf.DUMMYFUNCTION("""COMPUTED_VALUE"""),0.43)</f>
        <v>0.43</v>
      </c>
      <c r="O33" s="29"/>
      <c r="P33" s="31">
        <f>IFERROR(__xludf.DUMMYFUNCTION("""COMPUTED_VALUE"""),1400.0)</f>
        <v>1400</v>
      </c>
      <c r="Q33" s="31">
        <f>IFERROR(__xludf.DUMMYFUNCTION("""COMPUTED_VALUE"""),800.0)</f>
        <v>800</v>
      </c>
      <c r="R33" s="31"/>
      <c r="S33" s="32">
        <f>IFERROR(__xludf.DUMMYFUNCTION("""COMPUTED_VALUE"""),45617.0)</f>
        <v>45617</v>
      </c>
      <c r="T33" s="29"/>
      <c r="U33" s="29"/>
      <c r="V33" s="29"/>
      <c r="W33" s="29"/>
    </row>
    <row r="34" ht="15.75" customHeight="1">
      <c r="A34" s="29" t="str">
        <f>IFERROR(__xludf.DUMMYFUNCTION("""COMPUTED_VALUE"""),"JP")</f>
        <v>JP</v>
      </c>
      <c r="B34" s="29" t="str">
        <f>IFERROR(__xludf.DUMMYFUNCTION("""COMPUTED_VALUE"""),"ニッカ")</f>
        <v>ニッカ</v>
      </c>
      <c r="C34" s="29" t="str">
        <f>IFERROR(__xludf.DUMMYFUNCTION("""COMPUTED_VALUE"""),"ニッカ")</f>
        <v>ニッカ</v>
      </c>
      <c r="D34" s="29"/>
      <c r="E34" s="29" t="str">
        <f>IFERROR(__xludf.DUMMYFUNCTION("""COMPUTED_VALUE"""),"ブレンデッドモルト")</f>
        <v>ブレンデッドモルト</v>
      </c>
      <c r="F34" s="29"/>
      <c r="G34" s="29" t="str">
        <f>IFERROR(__xludf.DUMMYFUNCTION("""COMPUTED_VALUE"""),"ピュアモルト レッド")</f>
        <v>ピュアモルト レッド</v>
      </c>
      <c r="H34" s="29" t="str">
        <f>IFERROR(__xludf.DUMMYFUNCTION("""COMPUTED_VALUE"""),"蒸溜所限定")</f>
        <v>蒸溜所限定</v>
      </c>
      <c r="I34" s="29"/>
      <c r="J34" s="29"/>
      <c r="K34" s="29"/>
      <c r="L34" s="29" t="str">
        <f>IFERROR(__xludf.DUMMYFUNCTION("""COMPUTED_VALUE"""),"✓")</f>
        <v>✓</v>
      </c>
      <c r="M34" s="29"/>
      <c r="N34" s="30">
        <f>IFERROR(__xludf.DUMMYFUNCTION("""COMPUTED_VALUE"""),0.43)</f>
        <v>0.43</v>
      </c>
      <c r="O34" s="29"/>
      <c r="P34" s="31">
        <f>IFERROR(__xludf.DUMMYFUNCTION("""COMPUTED_VALUE"""),1400.0)</f>
        <v>1400</v>
      </c>
      <c r="Q34" s="31">
        <f>IFERROR(__xludf.DUMMYFUNCTION("""COMPUTED_VALUE"""),800.0)</f>
        <v>800</v>
      </c>
      <c r="R34" s="31"/>
      <c r="S34" s="32">
        <f>IFERROR(__xludf.DUMMYFUNCTION("""COMPUTED_VALUE"""),45619.0)</f>
        <v>45619</v>
      </c>
      <c r="T34" s="29"/>
      <c r="U34" s="29"/>
      <c r="V34" s="29"/>
      <c r="W34" s="29"/>
    </row>
    <row r="35" ht="15.75" customHeight="1">
      <c r="A35" s="29" t="str">
        <f>IFERROR(__xludf.DUMMYFUNCTION("""COMPUTED_VALUE"""),"JP")</f>
        <v>JP</v>
      </c>
      <c r="B35" s="29" t="str">
        <f>IFERROR(__xludf.DUMMYFUNCTION("""COMPUTED_VALUE"""),"ニッカ")</f>
        <v>ニッカ</v>
      </c>
      <c r="C35" s="29" t="str">
        <f>IFERROR(__xludf.DUMMYFUNCTION("""COMPUTED_VALUE"""),"ニッカ")</f>
        <v>ニッカ</v>
      </c>
      <c r="D35" s="29"/>
      <c r="E35" s="29" t="str">
        <f>IFERROR(__xludf.DUMMYFUNCTION("""COMPUTED_VALUE"""),"ブレンデッドモルト")</f>
        <v>ブレンデッドモルト</v>
      </c>
      <c r="F35" s="29"/>
      <c r="G35" s="29" t="str">
        <f>IFERROR(__xludf.DUMMYFUNCTION("""COMPUTED_VALUE"""),"セッション")</f>
        <v>セッション</v>
      </c>
      <c r="H35" s="29"/>
      <c r="I35" s="29"/>
      <c r="J35" s="29"/>
      <c r="K35" s="29"/>
      <c r="L35" s="29" t="str">
        <f>IFERROR(__xludf.DUMMYFUNCTION("""COMPUTED_VALUE"""),"✓")</f>
        <v>✓</v>
      </c>
      <c r="M35" s="29"/>
      <c r="N35" s="30">
        <f>IFERROR(__xludf.DUMMYFUNCTION("""COMPUTED_VALUE"""),0.43)</f>
        <v>0.43</v>
      </c>
      <c r="O35" s="29"/>
      <c r="P35" s="31">
        <f>IFERROR(__xludf.DUMMYFUNCTION("""COMPUTED_VALUE"""),1100.0)</f>
        <v>1100</v>
      </c>
      <c r="Q35" s="31">
        <f>IFERROR(__xludf.DUMMYFUNCTION("""COMPUTED_VALUE"""),650.0)</f>
        <v>650</v>
      </c>
      <c r="R35" s="31"/>
      <c r="S35" s="32"/>
      <c r="T35" s="29"/>
      <c r="U35" s="29"/>
      <c r="V35" s="29"/>
      <c r="W35" s="29"/>
    </row>
    <row r="36" ht="15.75" customHeight="1">
      <c r="A36" s="29" t="str">
        <f>IFERROR(__xludf.DUMMYFUNCTION("""COMPUTED_VALUE"""),"JP")</f>
        <v>JP</v>
      </c>
      <c r="B36" s="29" t="str">
        <f>IFERROR(__xludf.DUMMYFUNCTION("""COMPUTED_VALUE"""),"ニッカ")</f>
        <v>ニッカ</v>
      </c>
      <c r="C36" s="29" t="str">
        <f>IFERROR(__xludf.DUMMYFUNCTION("""COMPUTED_VALUE"""),"ニッカ")</f>
        <v>ニッカ</v>
      </c>
      <c r="D36" s="29" t="str">
        <f>IFERROR(__xludf.DUMMYFUNCTION("""COMPUTED_VALUE"""),"宮城峡")</f>
        <v>宮城峡</v>
      </c>
      <c r="E36" s="29" t="str">
        <f>IFERROR(__xludf.DUMMYFUNCTION("""COMPUTED_VALUE"""),"モルト")</f>
        <v>モルト</v>
      </c>
      <c r="F36" s="29"/>
      <c r="G36" s="29" t="str">
        <f>IFERROR(__xludf.DUMMYFUNCTION("""COMPUTED_VALUE"""),"カフェモルト")</f>
        <v>カフェモルト</v>
      </c>
      <c r="H36" s="29"/>
      <c r="I36" s="29"/>
      <c r="J36" s="29"/>
      <c r="K36" s="29"/>
      <c r="L36" s="29" t="str">
        <f>IFERROR(__xludf.DUMMYFUNCTION("""COMPUTED_VALUE"""),"✓")</f>
        <v>✓</v>
      </c>
      <c r="M36" s="29"/>
      <c r="N36" s="30">
        <f>IFERROR(__xludf.DUMMYFUNCTION("""COMPUTED_VALUE"""),0.45)</f>
        <v>0.45</v>
      </c>
      <c r="O36" s="29"/>
      <c r="P36" s="31">
        <f>IFERROR(__xludf.DUMMYFUNCTION("""COMPUTED_VALUE"""),1200.0)</f>
        <v>1200</v>
      </c>
      <c r="Q36" s="31">
        <f>IFERROR(__xludf.DUMMYFUNCTION("""COMPUTED_VALUE"""),700.0)</f>
        <v>700</v>
      </c>
      <c r="R36" s="31"/>
      <c r="S36" s="32">
        <f>IFERROR(__xludf.DUMMYFUNCTION("""COMPUTED_VALUE"""),45336.0)</f>
        <v>45336</v>
      </c>
      <c r="T36" s="29"/>
      <c r="U36" s="29"/>
      <c r="V36" s="29"/>
      <c r="W36" s="29"/>
    </row>
    <row r="37" ht="15.75" customHeight="1">
      <c r="A37" s="29" t="str">
        <f>IFERROR(__xludf.DUMMYFUNCTION("""COMPUTED_VALUE"""),"JP")</f>
        <v>JP</v>
      </c>
      <c r="B37" s="29" t="str">
        <f>IFERROR(__xludf.DUMMYFUNCTION("""COMPUTED_VALUE"""),"ニッカ")</f>
        <v>ニッカ</v>
      </c>
      <c r="C37" s="29" t="str">
        <f>IFERROR(__xludf.DUMMYFUNCTION("""COMPUTED_VALUE"""),"ニッカ")</f>
        <v>ニッカ</v>
      </c>
      <c r="D37" s="29" t="str">
        <f>IFERROR(__xludf.DUMMYFUNCTION("""COMPUTED_VALUE"""),"宮城峡")</f>
        <v>宮城峡</v>
      </c>
      <c r="E37" s="29" t="str">
        <f>IFERROR(__xludf.DUMMYFUNCTION("""COMPUTED_VALUE"""),"シングルグレーン")</f>
        <v>シングルグレーン</v>
      </c>
      <c r="F37" s="29"/>
      <c r="G37" s="29" t="str">
        <f>IFERROR(__xludf.DUMMYFUNCTION("""COMPUTED_VALUE"""),"カフェグレーン")</f>
        <v>カフェグレーン</v>
      </c>
      <c r="H37" s="29"/>
      <c r="I37" s="29"/>
      <c r="J37" s="29"/>
      <c r="K37" s="29"/>
      <c r="L37" s="29" t="str">
        <f>IFERROR(__xludf.DUMMYFUNCTION("""COMPUTED_VALUE"""),"✓")</f>
        <v>✓</v>
      </c>
      <c r="M37" s="29"/>
      <c r="N37" s="30">
        <f>IFERROR(__xludf.DUMMYFUNCTION("""COMPUTED_VALUE"""),0.45)</f>
        <v>0.45</v>
      </c>
      <c r="O37" s="29"/>
      <c r="P37" s="31">
        <f>IFERROR(__xludf.DUMMYFUNCTION("""COMPUTED_VALUE"""),1200.0)</f>
        <v>1200</v>
      </c>
      <c r="Q37" s="31">
        <f>IFERROR(__xludf.DUMMYFUNCTION("""COMPUTED_VALUE"""),700.0)</f>
        <v>700</v>
      </c>
      <c r="R37" s="31"/>
      <c r="S37" s="32">
        <f>IFERROR(__xludf.DUMMYFUNCTION("""COMPUTED_VALUE"""),45335.0)</f>
        <v>45335</v>
      </c>
      <c r="T37" s="29"/>
      <c r="U37" s="29"/>
      <c r="V37" s="29"/>
      <c r="W37" s="29"/>
    </row>
    <row r="38" ht="15.75" customHeight="1">
      <c r="A38" s="29" t="str">
        <f>IFERROR(__xludf.DUMMYFUNCTION("""COMPUTED_VALUE"""),"JP")</f>
        <v>JP</v>
      </c>
      <c r="B38" s="29" t="str">
        <f>IFERROR(__xludf.DUMMYFUNCTION("""COMPUTED_VALUE"""),"ニッカ")</f>
        <v>ニッカ</v>
      </c>
      <c r="C38" s="29" t="str">
        <f>IFERROR(__xludf.DUMMYFUNCTION("""COMPUTED_VALUE"""),"ニッカ")</f>
        <v>ニッカ</v>
      </c>
      <c r="D38" s="29" t="str">
        <f>IFERROR(__xludf.DUMMYFUNCTION("""COMPUTED_VALUE"""),"宮城峡")</f>
        <v>宮城峡</v>
      </c>
      <c r="E38" s="29" t="str">
        <f>IFERROR(__xludf.DUMMYFUNCTION("""COMPUTED_VALUE"""),"シングルグレーン")</f>
        <v>シングルグレーン</v>
      </c>
      <c r="F38" s="29"/>
      <c r="G38" s="29" t="str">
        <f>IFERROR(__xludf.DUMMYFUNCTION("""COMPUTED_VALUE"""),"シングルカフェグレーン ウッディ&amp;メロウ")</f>
        <v>シングルカフェグレーン ウッディ&amp;メロウ</v>
      </c>
      <c r="H38" s="29" t="str">
        <f>IFERROR(__xludf.DUMMYFUNCTION("""COMPUTED_VALUE"""),"蒸溜所限定")</f>
        <v>蒸溜所限定</v>
      </c>
      <c r="I38" s="29"/>
      <c r="J38" s="29"/>
      <c r="K38" s="29"/>
      <c r="L38" s="29" t="str">
        <f>IFERROR(__xludf.DUMMYFUNCTION("""COMPUTED_VALUE"""),"✓")</f>
        <v>✓</v>
      </c>
      <c r="M38" s="29"/>
      <c r="N38" s="30">
        <f>IFERROR(__xludf.DUMMYFUNCTION("""COMPUTED_VALUE"""),0.55)</f>
        <v>0.55</v>
      </c>
      <c r="O38" s="29"/>
      <c r="P38" s="31">
        <f>IFERROR(__xludf.DUMMYFUNCTION("""COMPUTED_VALUE"""),2000.0)</f>
        <v>2000</v>
      </c>
      <c r="Q38" s="31">
        <f>IFERROR(__xludf.DUMMYFUNCTION("""COMPUTED_VALUE"""),1100.0)</f>
        <v>1100</v>
      </c>
      <c r="R38" s="31"/>
      <c r="S38" s="32">
        <f>IFERROR(__xludf.DUMMYFUNCTION("""COMPUTED_VALUE"""),45344.0)</f>
        <v>45344</v>
      </c>
      <c r="T38" s="29"/>
      <c r="U38" s="29"/>
      <c r="V38" s="29"/>
      <c r="W38" s="29"/>
    </row>
    <row r="39" ht="15.75" customHeight="1">
      <c r="A39" s="29" t="str">
        <f>IFERROR(__xludf.DUMMYFUNCTION("""COMPUTED_VALUE"""),"JP")</f>
        <v>JP</v>
      </c>
      <c r="B39" s="29" t="str">
        <f>IFERROR(__xludf.DUMMYFUNCTION("""COMPUTED_VALUE"""),"ニッカ")</f>
        <v>ニッカ</v>
      </c>
      <c r="C39" s="29" t="str">
        <f>IFERROR(__xludf.DUMMYFUNCTION("""COMPUTED_VALUE"""),"ニッカ")</f>
        <v>ニッカ</v>
      </c>
      <c r="D39" s="29"/>
      <c r="E39" s="29" t="str">
        <f>IFERROR(__xludf.DUMMYFUNCTION("""COMPUTED_VALUE"""),"ブレンデッド")</f>
        <v>ブレンデッド</v>
      </c>
      <c r="F39" s="29"/>
      <c r="G39" s="29" t="str">
        <f>IFERROR(__xludf.DUMMYFUNCTION("""COMPUTED_VALUE"""),"ザニッカ テーラード ")</f>
        <v>ザニッカ テーラード </v>
      </c>
      <c r="H39" s="29"/>
      <c r="I39" s="29"/>
      <c r="J39" s="29"/>
      <c r="K39" s="29"/>
      <c r="L39" s="29" t="str">
        <f>IFERROR(__xludf.DUMMYFUNCTION("""COMPUTED_VALUE"""),"✓")</f>
        <v>✓</v>
      </c>
      <c r="M39" s="29"/>
      <c r="N39" s="30">
        <f>IFERROR(__xludf.DUMMYFUNCTION("""COMPUTED_VALUE"""),0.43)</f>
        <v>0.43</v>
      </c>
      <c r="O39" s="29"/>
      <c r="P39" s="31">
        <f>IFERROR(__xludf.DUMMYFUNCTION("""COMPUTED_VALUE"""),1600.0)</f>
        <v>1600</v>
      </c>
      <c r="Q39" s="31">
        <f>IFERROR(__xludf.DUMMYFUNCTION("""COMPUTED_VALUE"""),900.0)</f>
        <v>900</v>
      </c>
      <c r="R39" s="31"/>
      <c r="S39" s="32">
        <f>IFERROR(__xludf.DUMMYFUNCTION("""COMPUTED_VALUE"""),45416.0)</f>
        <v>45416</v>
      </c>
      <c r="T39" s="29"/>
      <c r="U39" s="29"/>
      <c r="V39" s="29"/>
      <c r="W39" s="29"/>
    </row>
    <row r="40" ht="15.75" customHeight="1">
      <c r="A40" s="29" t="str">
        <f>IFERROR(__xludf.DUMMYFUNCTION("""COMPUTED_VALUE"""),"JP")</f>
        <v>JP</v>
      </c>
      <c r="B40" s="29" t="str">
        <f>IFERROR(__xludf.DUMMYFUNCTION("""COMPUTED_VALUE"""),"ニッカ")</f>
        <v>ニッカ</v>
      </c>
      <c r="C40" s="29" t="str">
        <f>IFERROR(__xludf.DUMMYFUNCTION("""COMPUTED_VALUE"""),"ニッカ")</f>
        <v>ニッカ</v>
      </c>
      <c r="D40" s="29"/>
      <c r="E40" s="29" t="str">
        <f>IFERROR(__xludf.DUMMYFUNCTION("""COMPUTED_VALUE"""),"ブレンデッド")</f>
        <v>ブレンデッド</v>
      </c>
      <c r="F40" s="29"/>
      <c r="G40" s="29" t="str">
        <f>IFERROR(__xludf.DUMMYFUNCTION("""COMPUTED_VALUE"""),"鶴")</f>
        <v>鶴</v>
      </c>
      <c r="H40" s="29" t="str">
        <f>IFERROR(__xludf.DUMMYFUNCTION("""COMPUTED_VALUE"""),"蒸溜所限定")</f>
        <v>蒸溜所限定</v>
      </c>
      <c r="I40" s="29"/>
      <c r="J40" s="29"/>
      <c r="K40" s="29"/>
      <c r="L40" s="29" t="str">
        <f>IFERROR(__xludf.DUMMYFUNCTION("""COMPUTED_VALUE"""),"✓")</f>
        <v>✓</v>
      </c>
      <c r="M40" s="29"/>
      <c r="N40" s="30">
        <f>IFERROR(__xludf.DUMMYFUNCTION("""COMPUTED_VALUE"""),0.43)</f>
        <v>0.43</v>
      </c>
      <c r="O40" s="29"/>
      <c r="P40" s="31">
        <f>IFERROR(__xludf.DUMMYFUNCTION("""COMPUTED_VALUE"""),3000.0)</f>
        <v>3000</v>
      </c>
      <c r="Q40" s="31">
        <f>IFERROR(__xludf.DUMMYFUNCTION("""COMPUTED_VALUE"""),1600.0)</f>
        <v>1600</v>
      </c>
      <c r="R40" s="31"/>
      <c r="S40" s="32">
        <f>IFERROR(__xludf.DUMMYFUNCTION("""COMPUTED_VALUE"""),45163.0)</f>
        <v>45163</v>
      </c>
      <c r="T40" s="29"/>
      <c r="U40" s="29"/>
      <c r="V40" s="29"/>
      <c r="W40" s="29"/>
    </row>
    <row r="41" ht="15.75" customHeight="1">
      <c r="A41" s="29" t="str">
        <f>IFERROR(__xludf.DUMMYFUNCTION("""COMPUTED_VALUE"""),"JP")</f>
        <v>JP</v>
      </c>
      <c r="B41" s="29" t="str">
        <f>IFERROR(__xludf.DUMMYFUNCTION("""COMPUTED_VALUE"""),"ニッカ")</f>
        <v>ニッカ</v>
      </c>
      <c r="C41" s="29" t="str">
        <f>IFERROR(__xludf.DUMMYFUNCTION("""COMPUTED_VALUE"""),"ニッカ")</f>
        <v>ニッカ</v>
      </c>
      <c r="D41" s="29"/>
      <c r="E41" s="29" t="str">
        <f>IFERROR(__xludf.DUMMYFUNCTION("""COMPUTED_VALUE"""),"ブレンデッド")</f>
        <v>ブレンデッド</v>
      </c>
      <c r="F41" s="29"/>
      <c r="G41" s="29" t="str">
        <f>IFERROR(__xludf.DUMMYFUNCTION("""COMPUTED_VALUE"""),"余市蒸溜所限定ブレンデッド")</f>
        <v>余市蒸溜所限定ブレンデッド</v>
      </c>
      <c r="H41" s="29" t="str">
        <f>IFERROR(__xludf.DUMMYFUNCTION("""COMPUTED_VALUE"""),"蒸溜所限定")</f>
        <v>蒸溜所限定</v>
      </c>
      <c r="I41" s="29"/>
      <c r="J41" s="29"/>
      <c r="K41" s="29"/>
      <c r="L41" s="29" t="str">
        <f>IFERROR(__xludf.DUMMYFUNCTION("""COMPUTED_VALUE"""),"✓")</f>
        <v>✓</v>
      </c>
      <c r="M41" s="29"/>
      <c r="N41" s="30">
        <f>IFERROR(__xludf.DUMMYFUNCTION("""COMPUTED_VALUE"""),0.4)</f>
        <v>0.4</v>
      </c>
      <c r="O41" s="29"/>
      <c r="P41" s="31">
        <f>IFERROR(__xludf.DUMMYFUNCTION("""COMPUTED_VALUE"""),1500.0)</f>
        <v>1500</v>
      </c>
      <c r="Q41" s="31">
        <f>IFERROR(__xludf.DUMMYFUNCTION("""COMPUTED_VALUE"""),850.0)</f>
        <v>850</v>
      </c>
      <c r="R41" s="31"/>
      <c r="S41" s="32">
        <f>IFERROR(__xludf.DUMMYFUNCTION("""COMPUTED_VALUE"""),45610.0)</f>
        <v>45610</v>
      </c>
      <c r="T41" s="29"/>
      <c r="U41" s="29"/>
      <c r="V41" s="29"/>
      <c r="W41" s="29"/>
    </row>
    <row r="42" ht="15.75" customHeight="1">
      <c r="A42" s="29" t="str">
        <f>IFERROR(__xludf.DUMMYFUNCTION("""COMPUTED_VALUE"""),"JP")</f>
        <v>JP</v>
      </c>
      <c r="B42" s="29" t="str">
        <f>IFERROR(__xludf.DUMMYFUNCTION("""COMPUTED_VALUE"""),"ニッカ")</f>
        <v>ニッカ</v>
      </c>
      <c r="C42" s="29" t="str">
        <f>IFERROR(__xludf.DUMMYFUNCTION("""COMPUTED_VALUE"""),"ニッカ")</f>
        <v>ニッカ</v>
      </c>
      <c r="D42" s="29"/>
      <c r="E42" s="29" t="str">
        <f>IFERROR(__xludf.DUMMYFUNCTION("""COMPUTED_VALUE"""),"ブレンデッド")</f>
        <v>ブレンデッド</v>
      </c>
      <c r="F42" s="29"/>
      <c r="G42" s="29" t="str">
        <f>IFERROR(__xludf.DUMMYFUNCTION("""COMPUTED_VALUE"""),"宮城峡蒸溜所限定ブレンデッド")</f>
        <v>宮城峡蒸溜所限定ブレンデッド</v>
      </c>
      <c r="H42" s="29" t="str">
        <f>IFERROR(__xludf.DUMMYFUNCTION("""COMPUTED_VALUE"""),"蒸溜所限定")</f>
        <v>蒸溜所限定</v>
      </c>
      <c r="I42" s="29"/>
      <c r="J42" s="29"/>
      <c r="K42" s="29"/>
      <c r="L42" s="29" t="str">
        <f>IFERROR(__xludf.DUMMYFUNCTION("""COMPUTED_VALUE"""),"✓")</f>
        <v>✓</v>
      </c>
      <c r="M42" s="29"/>
      <c r="N42" s="30">
        <f>IFERROR(__xludf.DUMMYFUNCTION("""COMPUTED_VALUE"""),0.4)</f>
        <v>0.4</v>
      </c>
      <c r="O42" s="29"/>
      <c r="P42" s="31">
        <f>IFERROR(__xludf.DUMMYFUNCTION("""COMPUTED_VALUE"""),1500.0)</f>
        <v>1500</v>
      </c>
      <c r="Q42" s="31">
        <f>IFERROR(__xludf.DUMMYFUNCTION("""COMPUTED_VALUE"""),850.0)</f>
        <v>850</v>
      </c>
      <c r="R42" s="31"/>
      <c r="S42" s="32"/>
      <c r="T42" s="29"/>
      <c r="U42" s="29"/>
      <c r="V42" s="29"/>
      <c r="W42" s="29"/>
    </row>
    <row r="43" ht="15.75" customHeight="1">
      <c r="A43" s="29" t="str">
        <f>IFERROR(__xludf.DUMMYFUNCTION("""COMPUTED_VALUE"""),"JP")</f>
        <v>JP</v>
      </c>
      <c r="B43" s="29" t="str">
        <f>IFERROR(__xludf.DUMMYFUNCTION("""COMPUTED_VALUE"""),"ニッカ")</f>
        <v>ニッカ</v>
      </c>
      <c r="C43" s="29" t="str">
        <f>IFERROR(__xludf.DUMMYFUNCTION("""COMPUTED_VALUE"""),"ニッカ")</f>
        <v>ニッカ</v>
      </c>
      <c r="D43" s="29"/>
      <c r="E43" s="29" t="str">
        <f>IFERROR(__xludf.DUMMYFUNCTION("""COMPUTED_VALUE"""),"ブレンデッド")</f>
        <v>ブレンデッド</v>
      </c>
      <c r="F43" s="29"/>
      <c r="G43" s="29" t="str">
        <f>IFERROR(__xludf.DUMMYFUNCTION("""COMPUTED_VALUE"""),"スーパーニッカ")</f>
        <v>スーパーニッカ</v>
      </c>
      <c r="H43" s="29"/>
      <c r="I43" s="29"/>
      <c r="J43" s="29"/>
      <c r="K43" s="29"/>
      <c r="L43" s="29" t="str">
        <f>IFERROR(__xludf.DUMMYFUNCTION("""COMPUTED_VALUE"""),"✓")</f>
        <v>✓</v>
      </c>
      <c r="M43" s="29"/>
      <c r="N43" s="30">
        <f>IFERROR(__xludf.DUMMYFUNCTION("""COMPUTED_VALUE"""),0.43)</f>
        <v>0.43</v>
      </c>
      <c r="O43" s="29"/>
      <c r="P43" s="31">
        <f>IFERROR(__xludf.DUMMYFUNCTION("""COMPUTED_VALUE"""),1000.0)</f>
        <v>1000</v>
      </c>
      <c r="Q43" s="31">
        <f>IFERROR(__xludf.DUMMYFUNCTION("""COMPUTED_VALUE"""),600.0)</f>
        <v>600</v>
      </c>
      <c r="R43" s="31"/>
      <c r="S43" s="32"/>
      <c r="T43" s="29"/>
      <c r="U43" s="29"/>
      <c r="V43" s="29"/>
      <c r="W43" s="29"/>
    </row>
    <row r="44" ht="15.75" customHeight="1">
      <c r="A44" s="29" t="str">
        <f>IFERROR(__xludf.DUMMYFUNCTION("""COMPUTED_VALUE"""),"JP")</f>
        <v>JP</v>
      </c>
      <c r="B44" s="29" t="str">
        <f>IFERROR(__xludf.DUMMYFUNCTION("""COMPUTED_VALUE"""),"ニッカ")</f>
        <v>ニッカ</v>
      </c>
      <c r="C44" s="29" t="str">
        <f>IFERROR(__xludf.DUMMYFUNCTION("""COMPUTED_VALUE"""),"ニッカ")</f>
        <v>ニッカ</v>
      </c>
      <c r="D44" s="29"/>
      <c r="E44" s="29" t="str">
        <f>IFERROR(__xludf.DUMMYFUNCTION("""COMPUTED_VALUE"""),"ブレンデッド")</f>
        <v>ブレンデッド</v>
      </c>
      <c r="F44" s="29"/>
      <c r="G44" s="29" t="str">
        <f>IFERROR(__xludf.DUMMYFUNCTION("""COMPUTED_VALUE"""),"フロムザバレル")</f>
        <v>フロムザバレル</v>
      </c>
      <c r="H44" s="29"/>
      <c r="I44" s="29"/>
      <c r="J44" s="29"/>
      <c r="K44" s="29"/>
      <c r="L44" s="29" t="str">
        <f>IFERROR(__xludf.DUMMYFUNCTION("""COMPUTED_VALUE"""),"✓")</f>
        <v>✓</v>
      </c>
      <c r="M44" s="29"/>
      <c r="N44" s="30">
        <f>IFERROR(__xludf.DUMMYFUNCTION("""COMPUTED_VALUE"""),0.51)</f>
        <v>0.51</v>
      </c>
      <c r="O44" s="29"/>
      <c r="P44" s="31">
        <f>IFERROR(__xludf.DUMMYFUNCTION("""COMPUTED_VALUE"""),1100.0)</f>
        <v>1100</v>
      </c>
      <c r="Q44" s="31">
        <f>IFERROR(__xludf.DUMMYFUNCTION("""COMPUTED_VALUE"""),650.0)</f>
        <v>650</v>
      </c>
      <c r="R44" s="31"/>
      <c r="S44" s="32">
        <f>IFERROR(__xludf.DUMMYFUNCTION("""COMPUTED_VALUE"""),45772.0)</f>
        <v>45772</v>
      </c>
      <c r="T44" s="29"/>
      <c r="U44" s="29"/>
      <c r="V44" s="29"/>
      <c r="W44" s="29"/>
    </row>
    <row r="45" ht="15.75" customHeight="1">
      <c r="A45" s="29" t="str">
        <f>IFERROR(__xludf.DUMMYFUNCTION("""COMPUTED_VALUE"""),"JP")</f>
        <v>JP</v>
      </c>
      <c r="B45" s="29" t="str">
        <f>IFERROR(__xludf.DUMMYFUNCTION("""COMPUTED_VALUE"""),"ニッカ")</f>
        <v>ニッカ</v>
      </c>
      <c r="C45" s="29" t="str">
        <f>IFERROR(__xludf.DUMMYFUNCTION("""COMPUTED_VALUE"""),"ニッカ")</f>
        <v>ニッカ</v>
      </c>
      <c r="D45" s="29"/>
      <c r="E45" s="29" t="str">
        <f>IFERROR(__xludf.DUMMYFUNCTION("""COMPUTED_VALUE"""),"ブレンデッド")</f>
        <v>ブレンデッド</v>
      </c>
      <c r="F45" s="29"/>
      <c r="G45" s="29" t="str">
        <f>IFERROR(__xludf.DUMMYFUNCTION("""COMPUTED_VALUE"""),"フロンティア")</f>
        <v>フロンティア</v>
      </c>
      <c r="H45" s="29"/>
      <c r="I45" s="29"/>
      <c r="J45" s="29"/>
      <c r="K45" s="29"/>
      <c r="L45" s="29" t="str">
        <f>IFERROR(__xludf.DUMMYFUNCTION("""COMPUTED_VALUE"""),"✓")</f>
        <v>✓</v>
      </c>
      <c r="M45" s="29"/>
      <c r="N45" s="30">
        <f>IFERROR(__xludf.DUMMYFUNCTION("""COMPUTED_VALUE"""),0.48)</f>
        <v>0.48</v>
      </c>
      <c r="O45" s="29"/>
      <c r="P45" s="31">
        <f>IFERROR(__xludf.DUMMYFUNCTION("""COMPUTED_VALUE"""),900.0)</f>
        <v>900</v>
      </c>
      <c r="Q45" s="31">
        <f>IFERROR(__xludf.DUMMYFUNCTION("""COMPUTED_VALUE"""),550.0)</f>
        <v>550</v>
      </c>
      <c r="R45" s="31"/>
      <c r="S45" s="32">
        <f>IFERROR(__xludf.DUMMYFUNCTION("""COMPUTED_VALUE"""),45563.0)</f>
        <v>45563</v>
      </c>
      <c r="T45" s="29"/>
      <c r="U45" s="29"/>
      <c r="V45" s="29"/>
      <c r="W45" s="29"/>
    </row>
    <row r="46" ht="15.75" customHeight="1">
      <c r="A46" s="29" t="str">
        <f>IFERROR(__xludf.DUMMYFUNCTION("""COMPUTED_VALUE"""),"JP")</f>
        <v>JP</v>
      </c>
      <c r="B46" s="29" t="str">
        <f>IFERROR(__xludf.DUMMYFUNCTION("""COMPUTED_VALUE"""),"ニッカ")</f>
        <v>ニッカ</v>
      </c>
      <c r="C46" s="29" t="str">
        <f>IFERROR(__xludf.DUMMYFUNCTION("""COMPUTED_VALUE"""),"ニッカ")</f>
        <v>ニッカ</v>
      </c>
      <c r="D46" s="29"/>
      <c r="E46" s="29" t="str">
        <f>IFERROR(__xludf.DUMMYFUNCTION("""COMPUTED_VALUE"""),"ブレンデッド")</f>
        <v>ブレンデッド</v>
      </c>
      <c r="F46" s="29"/>
      <c r="G46" s="29" t="str">
        <f>IFERROR(__xludf.DUMMYFUNCTION("""COMPUTED_VALUE"""),"ブラックニッカ スペシャル")</f>
        <v>ブラックニッカ スペシャル</v>
      </c>
      <c r="H46" s="29"/>
      <c r="I46" s="29"/>
      <c r="J46" s="29"/>
      <c r="K46" s="29"/>
      <c r="L46" s="29" t="str">
        <f>IFERROR(__xludf.DUMMYFUNCTION("""COMPUTED_VALUE"""),"✓")</f>
        <v>✓</v>
      </c>
      <c r="M46" s="29"/>
      <c r="N46" s="30">
        <f>IFERROR(__xludf.DUMMYFUNCTION("""COMPUTED_VALUE"""),0.42)</f>
        <v>0.42</v>
      </c>
      <c r="O46" s="29"/>
      <c r="P46" s="31">
        <f>IFERROR(__xludf.DUMMYFUNCTION("""COMPUTED_VALUE"""),900.0)</f>
        <v>900</v>
      </c>
      <c r="Q46" s="31">
        <f>IFERROR(__xludf.DUMMYFUNCTION("""COMPUTED_VALUE"""),550.0)</f>
        <v>550</v>
      </c>
      <c r="R46" s="31"/>
      <c r="S46" s="32">
        <f>IFERROR(__xludf.DUMMYFUNCTION("""COMPUTED_VALUE"""),45480.0)</f>
        <v>45480</v>
      </c>
      <c r="T46" s="29"/>
      <c r="U46" s="29"/>
      <c r="V46" s="29"/>
      <c r="W46" s="29"/>
    </row>
    <row r="47" ht="15.75" customHeight="1">
      <c r="A47" s="29" t="str">
        <f>IFERROR(__xludf.DUMMYFUNCTION("""COMPUTED_VALUE"""),"JP")</f>
        <v>JP</v>
      </c>
      <c r="B47" s="29" t="str">
        <f>IFERROR(__xludf.DUMMYFUNCTION("""COMPUTED_VALUE"""),"ニッカ")</f>
        <v>ニッカ</v>
      </c>
      <c r="C47" s="29" t="str">
        <f>IFERROR(__xludf.DUMMYFUNCTION("""COMPUTED_VALUE"""),"ニッカ")</f>
        <v>ニッカ</v>
      </c>
      <c r="D47" s="29"/>
      <c r="E47" s="29" t="str">
        <f>IFERROR(__xludf.DUMMYFUNCTION("""COMPUTED_VALUE"""),"ブレンデッド")</f>
        <v>ブレンデッド</v>
      </c>
      <c r="F47" s="29"/>
      <c r="G47" s="29" t="str">
        <f>IFERROR(__xludf.DUMMYFUNCTION("""COMPUTED_VALUE"""),"ブラックニッカ ディープブレンド")</f>
        <v>ブラックニッカ ディープブレンド</v>
      </c>
      <c r="H47" s="29"/>
      <c r="I47" s="29"/>
      <c r="J47" s="29"/>
      <c r="K47" s="29"/>
      <c r="L47" s="29" t="str">
        <f>IFERROR(__xludf.DUMMYFUNCTION("""COMPUTED_VALUE"""),"✓")</f>
        <v>✓</v>
      </c>
      <c r="M47" s="29"/>
      <c r="N47" s="30">
        <f>IFERROR(__xludf.DUMMYFUNCTION("""COMPUTED_VALUE"""),0.45)</f>
        <v>0.45</v>
      </c>
      <c r="O47" s="29"/>
      <c r="P47" s="31">
        <f>IFERROR(__xludf.DUMMYFUNCTION("""COMPUTED_VALUE"""),900.0)</f>
        <v>900</v>
      </c>
      <c r="Q47" s="31">
        <f>IFERROR(__xludf.DUMMYFUNCTION("""COMPUTED_VALUE"""),550.0)</f>
        <v>550</v>
      </c>
      <c r="R47" s="31"/>
      <c r="S47" s="32">
        <f>IFERROR(__xludf.DUMMYFUNCTION("""COMPUTED_VALUE"""),45482.0)</f>
        <v>45482</v>
      </c>
      <c r="T47" s="29"/>
      <c r="U47" s="29"/>
      <c r="V47" s="29"/>
      <c r="W47" s="29"/>
    </row>
    <row r="48" ht="15.75" customHeight="1">
      <c r="A48" s="29" t="str">
        <f>IFERROR(__xludf.DUMMYFUNCTION("""COMPUTED_VALUE"""),"JP")</f>
        <v>JP</v>
      </c>
      <c r="B48" s="29" t="str">
        <f>IFERROR(__xludf.DUMMYFUNCTION("""COMPUTED_VALUE"""),"ニッカ")</f>
        <v>ニッカ</v>
      </c>
      <c r="C48" s="29" t="str">
        <f>IFERROR(__xludf.DUMMYFUNCTION("""COMPUTED_VALUE"""),"ニッカ")</f>
        <v>ニッカ</v>
      </c>
      <c r="D48" s="29"/>
      <c r="E48" s="29" t="str">
        <f>IFERROR(__xludf.DUMMYFUNCTION("""COMPUTED_VALUE"""),"ブレンデッド")</f>
        <v>ブレンデッド</v>
      </c>
      <c r="F48" s="29"/>
      <c r="G48" s="29" t="str">
        <f>IFERROR(__xludf.DUMMYFUNCTION("""COMPUTED_VALUE"""),"ブラックニッカ リッチブレンド")</f>
        <v>ブラックニッカ リッチブレンド</v>
      </c>
      <c r="H48" s="29"/>
      <c r="I48" s="29"/>
      <c r="J48" s="29"/>
      <c r="K48" s="29"/>
      <c r="L48" s="29" t="str">
        <f>IFERROR(__xludf.DUMMYFUNCTION("""COMPUTED_VALUE"""),"✓")</f>
        <v>✓</v>
      </c>
      <c r="M48" s="29"/>
      <c r="N48" s="30">
        <f>IFERROR(__xludf.DUMMYFUNCTION("""COMPUTED_VALUE"""),0.4)</f>
        <v>0.4</v>
      </c>
      <c r="O48" s="29"/>
      <c r="P48" s="31">
        <f>IFERROR(__xludf.DUMMYFUNCTION("""COMPUTED_VALUE"""),900.0)</f>
        <v>900</v>
      </c>
      <c r="Q48" s="31">
        <f>IFERROR(__xludf.DUMMYFUNCTION("""COMPUTED_VALUE"""),550.0)</f>
        <v>550</v>
      </c>
      <c r="R48" s="31"/>
      <c r="S48" s="32">
        <f>IFERROR(__xludf.DUMMYFUNCTION("""COMPUTED_VALUE"""),45483.0)</f>
        <v>45483</v>
      </c>
      <c r="T48" s="29"/>
      <c r="U48" s="29"/>
      <c r="V48" s="29"/>
      <c r="W48" s="29"/>
    </row>
    <row r="49" ht="15.75" customHeight="1">
      <c r="A49" s="29" t="str">
        <f>IFERROR(__xludf.DUMMYFUNCTION("""COMPUTED_VALUE"""),"JP")</f>
        <v>JP</v>
      </c>
      <c r="B49" s="29" t="str">
        <f>IFERROR(__xludf.DUMMYFUNCTION("""COMPUTED_VALUE"""),"ニッカ")</f>
        <v>ニッカ</v>
      </c>
      <c r="C49" s="29" t="str">
        <f>IFERROR(__xludf.DUMMYFUNCTION("""COMPUTED_VALUE"""),"ニッカ")</f>
        <v>ニッカ</v>
      </c>
      <c r="D49" s="29"/>
      <c r="E49" s="29" t="str">
        <f>IFERROR(__xludf.DUMMYFUNCTION("""COMPUTED_VALUE"""),"ブレンデッド")</f>
        <v>ブレンデッド</v>
      </c>
      <c r="F49" s="29"/>
      <c r="G49" s="29" t="str">
        <f>IFERROR(__xludf.DUMMYFUNCTION("""COMPUTED_VALUE"""),"デイズ")</f>
        <v>デイズ</v>
      </c>
      <c r="H49" s="29" t="str">
        <f>IFERROR(__xludf.DUMMYFUNCTION("""COMPUTED_VALUE"""),"欧米限定")</f>
        <v>欧米限定</v>
      </c>
      <c r="I49" s="29"/>
      <c r="J49" s="29"/>
      <c r="K49" s="29"/>
      <c r="L49" s="29" t="str">
        <f>IFERROR(__xludf.DUMMYFUNCTION("""COMPUTED_VALUE"""),"✓")</f>
        <v>✓</v>
      </c>
      <c r="M49" s="29"/>
      <c r="N49" s="30">
        <f>IFERROR(__xludf.DUMMYFUNCTION("""COMPUTED_VALUE"""),0.4)</f>
        <v>0.4</v>
      </c>
      <c r="O49" s="29"/>
      <c r="P49" s="31">
        <f>IFERROR(__xludf.DUMMYFUNCTION("""COMPUTED_VALUE"""),1200.0)</f>
        <v>1200</v>
      </c>
      <c r="Q49" s="31">
        <f>IFERROR(__xludf.DUMMYFUNCTION("""COMPUTED_VALUE"""),700.0)</f>
        <v>700</v>
      </c>
      <c r="R49" s="31"/>
      <c r="S49" s="32">
        <f>IFERROR(__xludf.DUMMYFUNCTION("""COMPUTED_VALUE"""),45165.0)</f>
        <v>45165</v>
      </c>
      <c r="T49" s="29"/>
      <c r="U49" s="29"/>
      <c r="V49" s="29"/>
      <c r="W49" s="29"/>
    </row>
    <row r="50" ht="15.75" customHeight="1">
      <c r="A50" s="29" t="str">
        <f>IFERROR(__xludf.DUMMYFUNCTION("""COMPUTED_VALUE"""),"JP")</f>
        <v>JP</v>
      </c>
      <c r="B50" s="29" t="str">
        <f>IFERROR(__xludf.DUMMYFUNCTION("""COMPUTED_VALUE"""),"キリン")</f>
        <v>キリン</v>
      </c>
      <c r="C50" s="29" t="str">
        <f>IFERROR(__xludf.DUMMYFUNCTION("""COMPUTED_VALUE"""),"キリン")</f>
        <v>キリン</v>
      </c>
      <c r="D50" s="29" t="str">
        <f>IFERROR(__xludf.DUMMYFUNCTION("""COMPUTED_VALUE"""),"御殿場")</f>
        <v>御殿場</v>
      </c>
      <c r="E50" s="29" t="str">
        <f>IFERROR(__xludf.DUMMYFUNCTION("""COMPUTED_VALUE"""),"シングルモルト")</f>
        <v>シングルモルト</v>
      </c>
      <c r="F50" s="29"/>
      <c r="G50" s="29" t="str">
        <f>IFERROR(__xludf.DUMMYFUNCTION("""COMPUTED_VALUE"""),"富士 シングルモルト")</f>
        <v>富士 シングルモルト</v>
      </c>
      <c r="H50" s="29"/>
      <c r="I50" s="29"/>
      <c r="J50" s="29"/>
      <c r="K50" s="29"/>
      <c r="L50" s="29" t="str">
        <f>IFERROR(__xludf.DUMMYFUNCTION("""COMPUTED_VALUE"""),"✓")</f>
        <v>✓</v>
      </c>
      <c r="M50" s="29"/>
      <c r="N50" s="30">
        <f>IFERROR(__xludf.DUMMYFUNCTION("""COMPUTED_VALUE"""),0.46)</f>
        <v>0.46</v>
      </c>
      <c r="O50" s="29"/>
      <c r="P50" s="31">
        <f>IFERROR(__xludf.DUMMYFUNCTION("""COMPUTED_VALUE"""),1500.0)</f>
        <v>1500</v>
      </c>
      <c r="Q50" s="31">
        <f>IFERROR(__xludf.DUMMYFUNCTION("""COMPUTED_VALUE"""),850.0)</f>
        <v>850</v>
      </c>
      <c r="R50" s="31"/>
      <c r="S50" s="32">
        <f>IFERROR(__xludf.DUMMYFUNCTION("""COMPUTED_VALUE"""),45699.0)</f>
        <v>45699</v>
      </c>
      <c r="T50" s="29"/>
      <c r="U50" s="29"/>
      <c r="V50" s="29"/>
      <c r="W50" s="29"/>
    </row>
    <row r="51" ht="15.75" customHeight="1">
      <c r="A51" s="29" t="str">
        <f>IFERROR(__xludf.DUMMYFUNCTION("""COMPUTED_VALUE"""),"JP")</f>
        <v>JP</v>
      </c>
      <c r="B51" s="29" t="str">
        <f>IFERROR(__xludf.DUMMYFUNCTION("""COMPUTED_VALUE"""),"キリン")</f>
        <v>キリン</v>
      </c>
      <c r="C51" s="29" t="str">
        <f>IFERROR(__xludf.DUMMYFUNCTION("""COMPUTED_VALUE"""),"キリン")</f>
        <v>キリン</v>
      </c>
      <c r="D51" s="29" t="str">
        <f>IFERROR(__xludf.DUMMYFUNCTION("""COMPUTED_VALUE"""),"御殿場")</f>
        <v>御殿場</v>
      </c>
      <c r="E51" s="29" t="str">
        <f>IFERROR(__xludf.DUMMYFUNCTION("""COMPUTED_VALUE"""),"シングルグレーン")</f>
        <v>シングルグレーン</v>
      </c>
      <c r="F51" s="29"/>
      <c r="G51" s="29" t="str">
        <f>IFERROR(__xludf.DUMMYFUNCTION("""COMPUTED_VALUE"""),"富士 シングルグレーン")</f>
        <v>富士 シングルグレーン</v>
      </c>
      <c r="H51" s="29"/>
      <c r="I51" s="29"/>
      <c r="J51" s="29"/>
      <c r="K51" s="29"/>
      <c r="L51" s="29" t="str">
        <f>IFERROR(__xludf.DUMMYFUNCTION("""COMPUTED_VALUE"""),"✓")</f>
        <v>✓</v>
      </c>
      <c r="M51" s="29"/>
      <c r="N51" s="30">
        <f>IFERROR(__xludf.DUMMYFUNCTION("""COMPUTED_VALUE"""),0.46)</f>
        <v>0.46</v>
      </c>
      <c r="O51" s="29"/>
      <c r="P51" s="31">
        <f>IFERROR(__xludf.DUMMYFUNCTION("""COMPUTED_VALUE"""),1400.0)</f>
        <v>1400</v>
      </c>
      <c r="Q51" s="31">
        <f>IFERROR(__xludf.DUMMYFUNCTION("""COMPUTED_VALUE"""),800.0)</f>
        <v>800</v>
      </c>
      <c r="R51" s="31"/>
      <c r="S51" s="32">
        <f>IFERROR(__xludf.DUMMYFUNCTION("""COMPUTED_VALUE"""),45702.0)</f>
        <v>45702</v>
      </c>
      <c r="T51" s="29"/>
      <c r="U51" s="29"/>
      <c r="V51" s="29"/>
      <c r="W51" s="29"/>
    </row>
    <row r="52" ht="15.75" customHeight="1">
      <c r="A52" s="29" t="str">
        <f>IFERROR(__xludf.DUMMYFUNCTION("""COMPUTED_VALUE"""),"JP")</f>
        <v>JP</v>
      </c>
      <c r="B52" s="29" t="str">
        <f>IFERROR(__xludf.DUMMYFUNCTION("""COMPUTED_VALUE"""),"キリン")</f>
        <v>キリン</v>
      </c>
      <c r="C52" s="29" t="str">
        <f>IFERROR(__xludf.DUMMYFUNCTION("""COMPUTED_VALUE"""),"キリン")</f>
        <v>キリン</v>
      </c>
      <c r="D52" s="29" t="str">
        <f>IFERROR(__xludf.DUMMYFUNCTION("""COMPUTED_VALUE"""),"御殿場")</f>
        <v>御殿場</v>
      </c>
      <c r="E52" s="29" t="str">
        <f>IFERROR(__xludf.DUMMYFUNCTION("""COMPUTED_VALUE"""),"シングルブレンデッド")</f>
        <v>シングルブレンデッド</v>
      </c>
      <c r="F52" s="29"/>
      <c r="G52" s="29" t="str">
        <f>IFERROR(__xludf.DUMMYFUNCTION("""COMPUTED_VALUE"""),"富士 シングルブレンデッド")</f>
        <v>富士 シングルブレンデッド</v>
      </c>
      <c r="H52" s="29"/>
      <c r="I52" s="29"/>
      <c r="J52" s="29"/>
      <c r="K52" s="29"/>
      <c r="L52" s="29" t="str">
        <f>IFERROR(__xludf.DUMMYFUNCTION("""COMPUTED_VALUE"""),"✓")</f>
        <v>✓</v>
      </c>
      <c r="M52" s="29"/>
      <c r="N52" s="30">
        <f>IFERROR(__xludf.DUMMYFUNCTION("""COMPUTED_VALUE"""),0.43)</f>
        <v>0.43</v>
      </c>
      <c r="O52" s="29"/>
      <c r="P52" s="31">
        <f>IFERROR(__xludf.DUMMYFUNCTION("""COMPUTED_VALUE"""),1400.0)</f>
        <v>1400</v>
      </c>
      <c r="Q52" s="31">
        <f>IFERROR(__xludf.DUMMYFUNCTION("""COMPUTED_VALUE"""),800.0)</f>
        <v>800</v>
      </c>
      <c r="R52" s="31"/>
      <c r="S52" s="32">
        <f>IFERROR(__xludf.DUMMYFUNCTION("""COMPUTED_VALUE"""),45701.0)</f>
        <v>45701</v>
      </c>
      <c r="T52" s="29"/>
      <c r="U52" s="29"/>
      <c r="V52" s="29"/>
      <c r="W52" s="29"/>
    </row>
    <row r="53" ht="15.75" customHeight="1">
      <c r="A53" s="29" t="str">
        <f>IFERROR(__xludf.DUMMYFUNCTION("""COMPUTED_VALUE"""),"JP")</f>
        <v>JP</v>
      </c>
      <c r="B53" s="29" t="str">
        <f>IFERROR(__xludf.DUMMYFUNCTION("""COMPUTED_VALUE"""),"キリン")</f>
        <v>キリン</v>
      </c>
      <c r="C53" s="29" t="str">
        <f>IFERROR(__xludf.DUMMYFUNCTION("""COMPUTED_VALUE"""),"キリン")</f>
        <v>キリン</v>
      </c>
      <c r="D53" s="29"/>
      <c r="E53" s="29" t="str">
        <f>IFERROR(__xludf.DUMMYFUNCTION("""COMPUTED_VALUE"""),"ブレンデッド")</f>
        <v>ブレンデッド</v>
      </c>
      <c r="F53" s="29"/>
      <c r="G53" s="29" t="str">
        <f>IFERROR(__xludf.DUMMYFUNCTION("""COMPUTED_VALUE"""),"富士山麓 シグネチャーブレンド")</f>
        <v>富士山麓 シグネチャーブレンド</v>
      </c>
      <c r="H53" s="29"/>
      <c r="I53" s="29"/>
      <c r="J53" s="29"/>
      <c r="K53" s="29"/>
      <c r="L53" s="29" t="str">
        <f>IFERROR(__xludf.DUMMYFUNCTION("""COMPUTED_VALUE"""),"✓")</f>
        <v>✓</v>
      </c>
      <c r="M53" s="29"/>
      <c r="N53" s="30">
        <f>IFERROR(__xludf.DUMMYFUNCTION("""COMPUTED_VALUE"""),0.5)</f>
        <v>0.5</v>
      </c>
      <c r="O53" s="29"/>
      <c r="P53" s="31">
        <f>IFERROR(__xludf.DUMMYFUNCTION("""COMPUTED_VALUE"""),1200.0)</f>
        <v>1200</v>
      </c>
      <c r="Q53" s="31">
        <f>IFERROR(__xludf.DUMMYFUNCTION("""COMPUTED_VALUE"""),700.0)</f>
        <v>700</v>
      </c>
      <c r="R53" s="31"/>
      <c r="S53" s="32"/>
      <c r="T53" s="29"/>
      <c r="U53" s="29"/>
      <c r="V53" s="29"/>
      <c r="W53" s="29"/>
    </row>
    <row r="54" ht="15.75" customHeight="1">
      <c r="A54" s="29" t="str">
        <f>IFERROR(__xludf.DUMMYFUNCTION("""COMPUTED_VALUE"""),"JP")</f>
        <v>JP</v>
      </c>
      <c r="B54" s="29" t="str">
        <f>IFERROR(__xludf.DUMMYFUNCTION("""COMPUTED_VALUE"""),"キリン")</f>
        <v>キリン</v>
      </c>
      <c r="C54" s="29" t="str">
        <f>IFERROR(__xludf.DUMMYFUNCTION("""COMPUTED_VALUE"""),"キリン")</f>
        <v>キリン</v>
      </c>
      <c r="D54" s="29"/>
      <c r="E54" s="29" t="str">
        <f>IFERROR(__xludf.DUMMYFUNCTION("""COMPUTED_VALUE"""),"ブレンデッド")</f>
        <v>ブレンデッド</v>
      </c>
      <c r="F54" s="29"/>
      <c r="G54" s="29" t="str">
        <f>IFERROR(__xludf.DUMMYFUNCTION("""COMPUTED_VALUE"""),"陸")</f>
        <v>陸</v>
      </c>
      <c r="H54" s="29"/>
      <c r="I54" s="29"/>
      <c r="J54" s="29"/>
      <c r="K54" s="29"/>
      <c r="L54" s="29" t="str">
        <f>IFERROR(__xludf.DUMMYFUNCTION("""COMPUTED_VALUE"""),"✓")</f>
        <v>✓</v>
      </c>
      <c r="M54" s="29"/>
      <c r="N54" s="30">
        <f>IFERROR(__xludf.DUMMYFUNCTION("""COMPUTED_VALUE"""),0.5)</f>
        <v>0.5</v>
      </c>
      <c r="O54" s="29"/>
      <c r="P54" s="31">
        <f>IFERROR(__xludf.DUMMYFUNCTION("""COMPUTED_VALUE"""),1000.0)</f>
        <v>1000</v>
      </c>
      <c r="Q54" s="31">
        <f>IFERROR(__xludf.DUMMYFUNCTION("""COMPUTED_VALUE"""),600.0)</f>
        <v>600</v>
      </c>
      <c r="R54" s="31"/>
      <c r="S54" s="32"/>
      <c r="T54" s="29"/>
      <c r="U54" s="29"/>
      <c r="V54" s="29"/>
      <c r="W54" s="29"/>
    </row>
    <row r="55" ht="15.75" customHeight="1">
      <c r="A55" s="29" t="str">
        <f>IFERROR(__xludf.DUMMYFUNCTION("""COMPUTED_VALUE"""),"JP")</f>
        <v>JP</v>
      </c>
      <c r="B55" s="29" t="str">
        <f>IFERROR(__xludf.DUMMYFUNCTION("""COMPUTED_VALUE"""),"ベンチャー")</f>
        <v>ベンチャー</v>
      </c>
      <c r="C55" s="29" t="str">
        <f>IFERROR(__xludf.DUMMYFUNCTION("""COMPUTED_VALUE"""),"ベンチャー")</f>
        <v>ベンチャー</v>
      </c>
      <c r="D55" s="29"/>
      <c r="E55" s="29" t="str">
        <f>IFERROR(__xludf.DUMMYFUNCTION("""COMPUTED_VALUE"""),"ブレンデッド")</f>
        <v>ブレンデッド</v>
      </c>
      <c r="F55" s="29"/>
      <c r="G55" s="29" t="str">
        <f>IFERROR(__xludf.DUMMYFUNCTION("""COMPUTED_VALUE"""),"イチローズモルト&amp;グレーン ホワイトリーフ")</f>
        <v>イチローズモルト&amp;グレーン ホワイトリーフ</v>
      </c>
      <c r="H55" s="29"/>
      <c r="I55" s="29"/>
      <c r="J55" s="29"/>
      <c r="K55" s="29"/>
      <c r="L55" s="29" t="str">
        <f>IFERROR(__xludf.DUMMYFUNCTION("""COMPUTED_VALUE"""),"✓")</f>
        <v>✓</v>
      </c>
      <c r="M55" s="29"/>
      <c r="N55" s="30"/>
      <c r="O55" s="29"/>
      <c r="P55" s="31">
        <f>IFERROR(__xludf.DUMMYFUNCTION("""COMPUTED_VALUE"""),1000.0)</f>
        <v>1000</v>
      </c>
      <c r="Q55" s="31">
        <f>IFERROR(__xludf.DUMMYFUNCTION("""COMPUTED_VALUE"""),600.0)</f>
        <v>600</v>
      </c>
      <c r="R55" s="31"/>
      <c r="S55" s="32">
        <f>IFERROR(__xludf.DUMMYFUNCTION("""COMPUTED_VALUE"""),45649.0)</f>
        <v>45649</v>
      </c>
      <c r="T55" s="29"/>
      <c r="U55" s="29"/>
      <c r="V55" s="29"/>
      <c r="W55" s="29"/>
    </row>
    <row r="56" ht="15.75" customHeight="1">
      <c r="A56" s="29" t="str">
        <f>IFERROR(__xludf.DUMMYFUNCTION("""COMPUTED_VALUE"""),"JP")</f>
        <v>JP</v>
      </c>
      <c r="B56" s="29" t="str">
        <f>IFERROR(__xludf.DUMMYFUNCTION("""COMPUTED_VALUE"""),"ベンチャー")</f>
        <v>ベンチャー</v>
      </c>
      <c r="C56" s="29" t="str">
        <f>IFERROR(__xludf.DUMMYFUNCTION("""COMPUTED_VALUE"""),"ベンチャー")</f>
        <v>ベンチャー</v>
      </c>
      <c r="D56" s="29"/>
      <c r="E56" s="29" t="str">
        <f>IFERROR(__xludf.DUMMYFUNCTION("""COMPUTED_VALUE"""),"ブレンデッド")</f>
        <v>ブレンデッド</v>
      </c>
      <c r="F56" s="29"/>
      <c r="G56" s="29" t="str">
        <f>IFERROR(__xludf.DUMMYFUNCTION("""COMPUTED_VALUE"""),"イチローズモルト&amp;グレーン クラシカルエディション")</f>
        <v>イチローズモルト&amp;グレーン クラシカルエディション</v>
      </c>
      <c r="H56" s="29"/>
      <c r="I56" s="29"/>
      <c r="J56" s="29"/>
      <c r="K56" s="29"/>
      <c r="L56" s="29" t="str">
        <f>IFERROR(__xludf.DUMMYFUNCTION("""COMPUTED_VALUE"""),"✓")</f>
        <v>✓</v>
      </c>
      <c r="M56" s="29"/>
      <c r="N56" s="30"/>
      <c r="O56" s="29"/>
      <c r="P56" s="31">
        <f>IFERROR(__xludf.DUMMYFUNCTION("""COMPUTED_VALUE"""),1400.0)</f>
        <v>1400</v>
      </c>
      <c r="Q56" s="31">
        <f>IFERROR(__xludf.DUMMYFUNCTION("""COMPUTED_VALUE"""),800.0)</f>
        <v>800</v>
      </c>
      <c r="R56" s="31"/>
      <c r="S56" s="32">
        <f>IFERROR(__xludf.DUMMYFUNCTION("""COMPUTED_VALUE"""),44776.0)</f>
        <v>44776</v>
      </c>
      <c r="T56" s="29"/>
      <c r="U56" s="29"/>
      <c r="V56" s="29"/>
      <c r="W56" s="29"/>
    </row>
    <row r="57" ht="15.75" customHeight="1">
      <c r="A57" s="29" t="str">
        <f>IFERROR(__xludf.DUMMYFUNCTION("""COMPUTED_VALUE"""),"JP")</f>
        <v>JP</v>
      </c>
      <c r="B57" s="29" t="str">
        <f>IFERROR(__xludf.DUMMYFUNCTION("""COMPUTED_VALUE"""),"ベンチャー")</f>
        <v>ベンチャー</v>
      </c>
      <c r="C57" s="29" t="str">
        <f>IFERROR(__xludf.DUMMYFUNCTION("""COMPUTED_VALUE"""),"ベンチャー")</f>
        <v>ベンチャー</v>
      </c>
      <c r="D57" s="29"/>
      <c r="E57" s="29" t="str">
        <f>IFERROR(__xludf.DUMMYFUNCTION("""COMPUTED_VALUE"""),"ブレンデッド")</f>
        <v>ブレンデッド</v>
      </c>
      <c r="F57" s="29"/>
      <c r="G57" s="29" t="str">
        <f>IFERROR(__xludf.DUMMYFUNCTION("""COMPUTED_VALUE"""),"イチローズモルト&amp;グレーン リミテッドエディション")</f>
        <v>イチローズモルト&amp;グレーン リミテッドエディション</v>
      </c>
      <c r="H57" s="29"/>
      <c r="I57" s="29"/>
      <c r="J57" s="29"/>
      <c r="K57" s="29"/>
      <c r="L57" s="29" t="str">
        <f>IFERROR(__xludf.DUMMYFUNCTION("""COMPUTED_VALUE"""),"✓")</f>
        <v>✓</v>
      </c>
      <c r="M57" s="29"/>
      <c r="N57" s="30"/>
      <c r="O57" s="29"/>
      <c r="P57" s="31">
        <f>IFERROR(__xludf.DUMMYFUNCTION("""COMPUTED_VALUE"""),1800.0)</f>
        <v>1800</v>
      </c>
      <c r="Q57" s="31">
        <f>IFERROR(__xludf.DUMMYFUNCTION("""COMPUTED_VALUE"""),1000.0)</f>
        <v>1000</v>
      </c>
      <c r="R57" s="31"/>
      <c r="S57" s="32"/>
      <c r="T57" s="29"/>
      <c r="U57" s="29"/>
      <c r="V57" s="29"/>
      <c r="W57" s="29"/>
    </row>
    <row r="58" ht="15.75" customHeight="1">
      <c r="A58" s="29" t="str">
        <f>IFERROR(__xludf.DUMMYFUNCTION("""COMPUTED_VALUE"""),"JP")</f>
        <v>JP</v>
      </c>
      <c r="B58" s="29" t="str">
        <f>IFERROR(__xludf.DUMMYFUNCTION("""COMPUTED_VALUE"""),"ベンチャー")</f>
        <v>ベンチャー</v>
      </c>
      <c r="C58" s="29" t="str">
        <f>IFERROR(__xludf.DUMMYFUNCTION("""COMPUTED_VALUE"""),"ベンチャー")</f>
        <v>ベンチャー</v>
      </c>
      <c r="D58" s="29"/>
      <c r="E58" s="29" t="str">
        <f>IFERROR(__xludf.DUMMYFUNCTION("""COMPUTED_VALUE"""),"ブレンデッドモルト")</f>
        <v>ブレンデッドモルト</v>
      </c>
      <c r="F58" s="29"/>
      <c r="G58" s="29" t="str">
        <f>IFERROR(__xludf.DUMMYFUNCTION("""COMPUTED_VALUE"""),"イチローズモルト ミズナラウッドリザーヴ")</f>
        <v>イチローズモルト ミズナラウッドリザーヴ</v>
      </c>
      <c r="H58" s="29"/>
      <c r="I58" s="29"/>
      <c r="J58" s="29"/>
      <c r="K58" s="29"/>
      <c r="L58" s="29" t="str">
        <f>IFERROR(__xludf.DUMMYFUNCTION("""COMPUTED_VALUE"""),"✓")</f>
        <v>✓</v>
      </c>
      <c r="M58" s="29"/>
      <c r="N58" s="30"/>
      <c r="O58" s="29"/>
      <c r="P58" s="31">
        <f>IFERROR(__xludf.DUMMYFUNCTION("""COMPUTED_VALUE"""),1500.0)</f>
        <v>1500</v>
      </c>
      <c r="Q58" s="31">
        <f>IFERROR(__xludf.DUMMYFUNCTION("""COMPUTED_VALUE"""),850.0)</f>
        <v>850</v>
      </c>
      <c r="R58" s="31"/>
      <c r="S58" s="32">
        <f>IFERROR(__xludf.DUMMYFUNCTION("""COMPUTED_VALUE"""),45768.0)</f>
        <v>45768</v>
      </c>
      <c r="T58" s="29"/>
      <c r="U58" s="29"/>
      <c r="V58" s="29"/>
      <c r="W58" s="29"/>
    </row>
    <row r="59" ht="15.75" customHeight="1">
      <c r="A59" s="29" t="str">
        <f>IFERROR(__xludf.DUMMYFUNCTION("""COMPUTED_VALUE"""),"JP")</f>
        <v>JP</v>
      </c>
      <c r="B59" s="29" t="str">
        <f>IFERROR(__xludf.DUMMYFUNCTION("""COMPUTED_VALUE"""),"ベンチャー")</f>
        <v>ベンチャー</v>
      </c>
      <c r="C59" s="29" t="str">
        <f>IFERROR(__xludf.DUMMYFUNCTION("""COMPUTED_VALUE"""),"ベンチャー")</f>
        <v>ベンチャー</v>
      </c>
      <c r="D59" s="29"/>
      <c r="E59" s="29" t="str">
        <f>IFERROR(__xludf.DUMMYFUNCTION("""COMPUTED_VALUE"""),"ブレンデッドモルト")</f>
        <v>ブレンデッドモルト</v>
      </c>
      <c r="F59" s="29"/>
      <c r="G59" s="29" t="str">
        <f>IFERROR(__xludf.DUMMYFUNCTION("""COMPUTED_VALUE"""),"イチローズモルト ワインウッドリザーヴ")</f>
        <v>イチローズモルト ワインウッドリザーヴ</v>
      </c>
      <c r="H59" s="29"/>
      <c r="I59" s="29"/>
      <c r="J59" s="29"/>
      <c r="K59" s="29"/>
      <c r="L59" s="29" t="str">
        <f>IFERROR(__xludf.DUMMYFUNCTION("""COMPUTED_VALUE"""),"✓")</f>
        <v>✓</v>
      </c>
      <c r="M59" s="29"/>
      <c r="N59" s="30"/>
      <c r="O59" s="29"/>
      <c r="P59" s="31">
        <f>IFERROR(__xludf.DUMMYFUNCTION("""COMPUTED_VALUE"""),1500.0)</f>
        <v>1500</v>
      </c>
      <c r="Q59" s="31">
        <f>IFERROR(__xludf.DUMMYFUNCTION("""COMPUTED_VALUE"""),850.0)</f>
        <v>850</v>
      </c>
      <c r="R59" s="31"/>
      <c r="S59" s="32">
        <f>IFERROR(__xludf.DUMMYFUNCTION("""COMPUTED_VALUE"""),45769.0)</f>
        <v>45769</v>
      </c>
      <c r="T59" s="29"/>
      <c r="U59" s="29"/>
      <c r="V59" s="29"/>
      <c r="W59" s="29"/>
    </row>
    <row r="60" ht="15.75" customHeight="1">
      <c r="A60" s="29" t="str">
        <f>IFERROR(__xludf.DUMMYFUNCTION("""COMPUTED_VALUE"""),"JP")</f>
        <v>JP</v>
      </c>
      <c r="B60" s="29" t="str">
        <f>IFERROR(__xludf.DUMMYFUNCTION("""COMPUTED_VALUE"""),"ベンチャー")</f>
        <v>ベンチャー</v>
      </c>
      <c r="C60" s="29" t="str">
        <f>IFERROR(__xludf.DUMMYFUNCTION("""COMPUTED_VALUE"""),"ベンチャー")</f>
        <v>ベンチャー</v>
      </c>
      <c r="D60" s="29"/>
      <c r="E60" s="29" t="str">
        <f>IFERROR(__xludf.DUMMYFUNCTION("""COMPUTED_VALUE"""),"ブレンデッドモルト")</f>
        <v>ブレンデッドモルト</v>
      </c>
      <c r="F60" s="29"/>
      <c r="G60" s="29" t="str">
        <f>IFERROR(__xludf.DUMMYFUNCTION("""COMPUTED_VALUE"""),"イチローズモルト ダブルディスティラリーズ")</f>
        <v>イチローズモルト ダブルディスティラリーズ</v>
      </c>
      <c r="H60" s="29"/>
      <c r="I60" s="29"/>
      <c r="J60" s="29"/>
      <c r="K60" s="29"/>
      <c r="L60" s="29" t="str">
        <f>IFERROR(__xludf.DUMMYFUNCTION("""COMPUTED_VALUE"""),"✓")</f>
        <v>✓</v>
      </c>
      <c r="M60" s="29"/>
      <c r="N60" s="30"/>
      <c r="O60" s="29"/>
      <c r="P60" s="31">
        <f>IFERROR(__xludf.DUMMYFUNCTION("""COMPUTED_VALUE"""),1500.0)</f>
        <v>1500</v>
      </c>
      <c r="Q60" s="31">
        <f>IFERROR(__xludf.DUMMYFUNCTION("""COMPUTED_VALUE"""),850.0)</f>
        <v>850</v>
      </c>
      <c r="R60" s="31"/>
      <c r="S60" s="32">
        <f>IFERROR(__xludf.DUMMYFUNCTION("""COMPUTED_VALUE"""),45771.0)</f>
        <v>45771</v>
      </c>
      <c r="T60" s="29"/>
      <c r="U60" s="29"/>
      <c r="V60" s="29"/>
      <c r="W60" s="29"/>
    </row>
    <row r="61" ht="15.75" customHeight="1">
      <c r="A61" s="29" t="str">
        <f>IFERROR(__xludf.DUMMYFUNCTION("""COMPUTED_VALUE"""),"JP")</f>
        <v>JP</v>
      </c>
      <c r="B61" s="29" t="str">
        <f>IFERROR(__xludf.DUMMYFUNCTION("""COMPUTED_VALUE"""),"マルス")</f>
        <v>マルス</v>
      </c>
      <c r="C61" s="29" t="str">
        <f>IFERROR(__xludf.DUMMYFUNCTION("""COMPUTED_VALUE"""),"マルス")</f>
        <v>マルス</v>
      </c>
      <c r="D61" s="29" t="str">
        <f>IFERROR(__xludf.DUMMYFUNCTION("""COMPUTED_VALUE"""),"駒ヶ岳")</f>
        <v>駒ヶ岳</v>
      </c>
      <c r="E61" s="29" t="str">
        <f>IFERROR(__xludf.DUMMYFUNCTION("""COMPUTED_VALUE"""),"シングルモルト")</f>
        <v>シングルモルト</v>
      </c>
      <c r="F61" s="29"/>
      <c r="G61" s="29" t="str">
        <f>IFERROR(__xludf.DUMMYFUNCTION("""COMPUTED_VALUE"""),"駒ヶ岳")</f>
        <v>駒ヶ岳</v>
      </c>
      <c r="H61" s="29"/>
      <c r="I61" s="29"/>
      <c r="J61" s="29"/>
      <c r="K61" s="29"/>
      <c r="L61" s="29" t="str">
        <f>IFERROR(__xludf.DUMMYFUNCTION("""COMPUTED_VALUE"""),"✓")</f>
        <v>✓</v>
      </c>
      <c r="M61" s="29"/>
      <c r="N61" s="30">
        <f>IFERROR(__xludf.DUMMYFUNCTION("""COMPUTED_VALUE"""),0.45)</f>
        <v>0.45</v>
      </c>
      <c r="O61" s="29"/>
      <c r="P61" s="31">
        <f>IFERROR(__xludf.DUMMYFUNCTION("""COMPUTED_VALUE"""),1400.0)</f>
        <v>1400</v>
      </c>
      <c r="Q61" s="31">
        <f>IFERROR(__xludf.DUMMYFUNCTION("""COMPUTED_VALUE"""),800.0)</f>
        <v>800</v>
      </c>
      <c r="R61" s="31"/>
      <c r="S61" s="32"/>
      <c r="T61" s="29"/>
      <c r="U61" s="29"/>
      <c r="V61" s="29"/>
      <c r="W61" s="29"/>
    </row>
    <row r="62" ht="15.75" customHeight="1">
      <c r="A62" s="29" t="str">
        <f>IFERROR(__xludf.DUMMYFUNCTION("""COMPUTED_VALUE"""),"JP")</f>
        <v>JP</v>
      </c>
      <c r="B62" s="29" t="str">
        <f>IFERROR(__xludf.DUMMYFUNCTION("""COMPUTED_VALUE"""),"マルス")</f>
        <v>マルス</v>
      </c>
      <c r="C62" s="29" t="str">
        <f>IFERROR(__xludf.DUMMYFUNCTION("""COMPUTED_VALUE"""),"マルス")</f>
        <v>マルス</v>
      </c>
      <c r="D62" s="29" t="str">
        <f>IFERROR(__xludf.DUMMYFUNCTION("""COMPUTED_VALUE"""),"津貫")</f>
        <v>津貫</v>
      </c>
      <c r="E62" s="29" t="str">
        <f>IFERROR(__xludf.DUMMYFUNCTION("""COMPUTED_VALUE"""),"シングルモルト")</f>
        <v>シングルモルト</v>
      </c>
      <c r="F62" s="29"/>
      <c r="G62" s="29" t="str">
        <f>IFERROR(__xludf.DUMMYFUNCTION("""COMPUTED_VALUE"""),"津貫 2023エディション")</f>
        <v>津貫 2023エディション</v>
      </c>
      <c r="H62" s="29"/>
      <c r="I62" s="29"/>
      <c r="J62" s="29"/>
      <c r="K62" s="29"/>
      <c r="L62" s="29" t="str">
        <f>IFERROR(__xludf.DUMMYFUNCTION("""COMPUTED_VALUE"""),"✓")</f>
        <v>✓</v>
      </c>
      <c r="M62" s="29"/>
      <c r="N62" s="30"/>
      <c r="O62" s="29"/>
      <c r="P62" s="31">
        <f>IFERROR(__xludf.DUMMYFUNCTION("""COMPUTED_VALUE"""),1400.0)</f>
        <v>1400</v>
      </c>
      <c r="Q62" s="31">
        <f>IFERROR(__xludf.DUMMYFUNCTION("""COMPUTED_VALUE"""),800.0)</f>
        <v>800</v>
      </c>
      <c r="R62" s="31"/>
      <c r="S62" s="32">
        <f>IFERROR(__xludf.DUMMYFUNCTION("""COMPUTED_VALUE"""),45774.0)</f>
        <v>45774</v>
      </c>
      <c r="T62" s="29"/>
      <c r="U62" s="29"/>
      <c r="V62" s="29"/>
      <c r="W62" s="29"/>
    </row>
    <row r="63" ht="15.75" customHeight="1">
      <c r="A63" s="29" t="str">
        <f>IFERROR(__xludf.DUMMYFUNCTION("""COMPUTED_VALUE"""),"JP")</f>
        <v>JP</v>
      </c>
      <c r="B63" s="29" t="str">
        <f>IFERROR(__xludf.DUMMYFUNCTION("""COMPUTED_VALUE"""),"マルス")</f>
        <v>マルス</v>
      </c>
      <c r="C63" s="29" t="str">
        <f>IFERROR(__xludf.DUMMYFUNCTION("""COMPUTED_VALUE"""),"マルス")</f>
        <v>マルス</v>
      </c>
      <c r="D63" s="29"/>
      <c r="E63" s="29" t="str">
        <f>IFERROR(__xludf.DUMMYFUNCTION("""COMPUTED_VALUE"""),"ブレンデッドモルト")</f>
        <v>ブレンデッドモルト</v>
      </c>
      <c r="F63" s="29"/>
      <c r="G63" s="29" t="str">
        <f>IFERROR(__xludf.DUMMYFUNCTION("""COMPUTED_VALUE"""),"越百")</f>
        <v>越百</v>
      </c>
      <c r="H63" s="29"/>
      <c r="I63" s="29"/>
      <c r="J63" s="29"/>
      <c r="K63" s="29"/>
      <c r="L63" s="29" t="str">
        <f>IFERROR(__xludf.DUMMYFUNCTION("""COMPUTED_VALUE"""),"✓")</f>
        <v>✓</v>
      </c>
      <c r="M63" s="29"/>
      <c r="N63" s="30"/>
      <c r="O63" s="29"/>
      <c r="P63" s="31">
        <f>IFERROR(__xludf.DUMMYFUNCTION("""COMPUTED_VALUE"""),1100.0)</f>
        <v>1100</v>
      </c>
      <c r="Q63" s="31">
        <f>IFERROR(__xludf.DUMMYFUNCTION("""COMPUTED_VALUE"""),650.0)</f>
        <v>650</v>
      </c>
      <c r="R63" s="31"/>
      <c r="S63" s="32"/>
      <c r="T63" s="29"/>
      <c r="U63" s="29"/>
      <c r="V63" s="29"/>
      <c r="W63" s="29"/>
    </row>
    <row r="64" ht="15.75" customHeight="1">
      <c r="A64" s="29" t="str">
        <f>IFERROR(__xludf.DUMMYFUNCTION("""COMPUTED_VALUE"""),"JP")</f>
        <v>JP</v>
      </c>
      <c r="B64" s="29" t="str">
        <f>IFERROR(__xludf.DUMMYFUNCTION("""COMPUTED_VALUE"""),"マルス")</f>
        <v>マルス</v>
      </c>
      <c r="C64" s="29" t="str">
        <f>IFERROR(__xludf.DUMMYFUNCTION("""COMPUTED_VALUE"""),"マルス")</f>
        <v>マルス</v>
      </c>
      <c r="D64" s="29"/>
      <c r="E64" s="29" t="str">
        <f>IFERROR(__xludf.DUMMYFUNCTION("""COMPUTED_VALUE"""),"ブレンデッドモルト")</f>
        <v>ブレンデッドモルト</v>
      </c>
      <c r="F64" s="29"/>
      <c r="G64" s="29" t="str">
        <f>IFERROR(__xludf.DUMMYFUNCTION("""COMPUTED_VALUE"""),"マルスモルテージ ディスティラリーズオリジナル")</f>
        <v>マルスモルテージ ディスティラリーズオリジナル</v>
      </c>
      <c r="H64" s="29" t="str">
        <f>IFERROR(__xludf.DUMMYFUNCTION("""COMPUTED_VALUE"""),"蒸溜所限定")</f>
        <v>蒸溜所限定</v>
      </c>
      <c r="I64" s="29"/>
      <c r="J64" s="29"/>
      <c r="K64" s="29"/>
      <c r="L64" s="29" t="str">
        <f>IFERROR(__xludf.DUMMYFUNCTION("""COMPUTED_VALUE"""),"✓")</f>
        <v>✓</v>
      </c>
      <c r="M64" s="29"/>
      <c r="N64" s="30"/>
      <c r="O64" s="29"/>
      <c r="P64" s="31">
        <f>IFERROR(__xludf.DUMMYFUNCTION("""COMPUTED_VALUE"""),1200.0)</f>
        <v>1200</v>
      </c>
      <c r="Q64" s="31">
        <f>IFERROR(__xludf.DUMMYFUNCTION("""COMPUTED_VALUE"""),700.0)</f>
        <v>700</v>
      </c>
      <c r="R64" s="31"/>
      <c r="S64" s="32"/>
      <c r="T64" s="29"/>
      <c r="U64" s="29"/>
      <c r="V64" s="29"/>
      <c r="W64" s="29"/>
    </row>
    <row r="65" ht="15.75" customHeight="1">
      <c r="A65" s="29" t="str">
        <f>IFERROR(__xludf.DUMMYFUNCTION("""COMPUTED_VALUE"""),"JP")</f>
        <v>JP</v>
      </c>
      <c r="B65" s="29" t="str">
        <f>IFERROR(__xludf.DUMMYFUNCTION("""COMPUTED_VALUE"""),"マルス")</f>
        <v>マルス</v>
      </c>
      <c r="C65" s="29" t="str">
        <f>IFERROR(__xludf.DUMMYFUNCTION("""COMPUTED_VALUE"""),"マルス")</f>
        <v>マルス</v>
      </c>
      <c r="D65" s="29"/>
      <c r="E65" s="29" t="str">
        <f>IFERROR(__xludf.DUMMYFUNCTION("""COMPUTED_VALUE"""),"ブレンデッド")</f>
        <v>ブレンデッド</v>
      </c>
      <c r="F65" s="29"/>
      <c r="G65" s="29" t="str">
        <f>IFERROR(__xludf.DUMMYFUNCTION("""COMPUTED_VALUE"""),"ツインアルプス")</f>
        <v>ツインアルプス</v>
      </c>
      <c r="H65" s="29"/>
      <c r="I65" s="29"/>
      <c r="J65" s="29"/>
      <c r="K65" s="29"/>
      <c r="L65" s="29" t="str">
        <f>IFERROR(__xludf.DUMMYFUNCTION("""COMPUTED_VALUE"""),"✓")</f>
        <v>✓</v>
      </c>
      <c r="M65" s="29"/>
      <c r="N65" s="30"/>
      <c r="O65" s="29"/>
      <c r="P65" s="31">
        <f>IFERROR(__xludf.DUMMYFUNCTION("""COMPUTED_VALUE"""),900.0)</f>
        <v>900</v>
      </c>
      <c r="Q65" s="31">
        <f>IFERROR(__xludf.DUMMYFUNCTION("""COMPUTED_VALUE"""),550.0)</f>
        <v>550</v>
      </c>
      <c r="R65" s="31"/>
      <c r="S65" s="32">
        <f>IFERROR(__xludf.DUMMYFUNCTION("""COMPUTED_VALUE"""),45470.0)</f>
        <v>45470</v>
      </c>
      <c r="T65" s="29"/>
      <c r="U65" s="29"/>
      <c r="V65" s="29"/>
      <c r="W65" s="29"/>
    </row>
    <row r="66" ht="15.75" customHeight="1">
      <c r="A66" s="29" t="str">
        <f>IFERROR(__xludf.DUMMYFUNCTION("""COMPUTED_VALUE"""),"JP")</f>
        <v>JP</v>
      </c>
      <c r="B66" s="29" t="str">
        <f>IFERROR(__xludf.DUMMYFUNCTION("""COMPUTED_VALUE"""),"マルス")</f>
        <v>マルス</v>
      </c>
      <c r="C66" s="29" t="str">
        <f>IFERROR(__xludf.DUMMYFUNCTION("""COMPUTED_VALUE"""),"マルス")</f>
        <v>マルス</v>
      </c>
      <c r="D66" s="29"/>
      <c r="E66" s="29" t="str">
        <f>IFERROR(__xludf.DUMMYFUNCTION("""COMPUTED_VALUE"""),"ブレンデッド")</f>
        <v>ブレンデッド</v>
      </c>
      <c r="F66" s="29"/>
      <c r="G66" s="29" t="str">
        <f>IFERROR(__xludf.DUMMYFUNCTION("""COMPUTED_VALUE"""),"岩井")</f>
        <v>岩井</v>
      </c>
      <c r="H66" s="29"/>
      <c r="I66" s="29"/>
      <c r="J66" s="29"/>
      <c r="K66" s="29"/>
      <c r="L66" s="29" t="str">
        <f>IFERROR(__xludf.DUMMYFUNCTION("""COMPUTED_VALUE"""),"✓")</f>
        <v>✓</v>
      </c>
      <c r="M66" s="29"/>
      <c r="N66" s="30"/>
      <c r="O66" s="29"/>
      <c r="P66" s="31">
        <f>IFERROR(__xludf.DUMMYFUNCTION("""COMPUTED_VALUE"""),1000.0)</f>
        <v>1000</v>
      </c>
      <c r="Q66" s="31">
        <f>IFERROR(__xludf.DUMMYFUNCTION("""COMPUTED_VALUE"""),600.0)</f>
        <v>600</v>
      </c>
      <c r="R66" s="31"/>
      <c r="S66" s="32">
        <f>IFERROR(__xludf.DUMMYFUNCTION("""COMPUTED_VALUE"""),45452.0)</f>
        <v>45452</v>
      </c>
      <c r="T66" s="29"/>
      <c r="U66" s="29"/>
      <c r="V66" s="29"/>
      <c r="W66" s="29"/>
    </row>
    <row r="67" ht="15.75" customHeight="1">
      <c r="A67" s="29" t="str">
        <f>IFERROR(__xludf.DUMMYFUNCTION("""COMPUTED_VALUE"""),"JP")</f>
        <v>JP</v>
      </c>
      <c r="B67" s="29" t="str">
        <f>IFERROR(__xludf.DUMMYFUNCTION("""COMPUTED_VALUE"""),"マルス")</f>
        <v>マルス</v>
      </c>
      <c r="C67" s="29" t="str">
        <f>IFERROR(__xludf.DUMMYFUNCTION("""COMPUTED_VALUE"""),"マルス")</f>
        <v>マルス</v>
      </c>
      <c r="D67" s="29"/>
      <c r="E67" s="29" t="str">
        <f>IFERROR(__xludf.DUMMYFUNCTION("""COMPUTED_VALUE"""),"ブレンデッド")</f>
        <v>ブレンデッド</v>
      </c>
      <c r="F67" s="29"/>
      <c r="G67" s="29" t="str">
        <f>IFERROR(__xludf.DUMMYFUNCTION("""COMPUTED_VALUE"""),"HHAE")</f>
        <v>HHAE</v>
      </c>
      <c r="H67" s="29" t="str">
        <f>IFERROR(__xludf.DUMMYFUNCTION("""COMPUTED_VALUE"""),"蒸溜所限定")</f>
        <v>蒸溜所限定</v>
      </c>
      <c r="I67" s="29"/>
      <c r="J67" s="29"/>
      <c r="K67" s="29"/>
      <c r="L67" s="29" t="str">
        <f>IFERROR(__xludf.DUMMYFUNCTION("""COMPUTED_VALUE"""),"✓")</f>
        <v>✓</v>
      </c>
      <c r="M67" s="29"/>
      <c r="N67" s="30"/>
      <c r="O67" s="29"/>
      <c r="P67" s="31">
        <f>IFERROR(__xludf.DUMMYFUNCTION("""COMPUTED_VALUE"""),1300.0)</f>
        <v>1300</v>
      </c>
      <c r="Q67" s="31">
        <f>IFERROR(__xludf.DUMMYFUNCTION("""COMPUTED_VALUE"""),750.0)</f>
        <v>750</v>
      </c>
      <c r="R67" s="31"/>
      <c r="S67" s="32"/>
      <c r="T67" s="29"/>
      <c r="U67" s="29"/>
      <c r="V67" s="29"/>
      <c r="W67" s="29"/>
    </row>
    <row r="68" ht="15.75" customHeight="1">
      <c r="A68" s="29" t="str">
        <f>IFERROR(__xludf.DUMMYFUNCTION("""COMPUTED_VALUE"""),"JP")</f>
        <v>JP</v>
      </c>
      <c r="B68" s="29" t="str">
        <f>IFERROR(__xludf.DUMMYFUNCTION("""COMPUTED_VALUE"""),"マルス")</f>
        <v>マルス</v>
      </c>
      <c r="C68" s="29" t="str">
        <f>IFERROR(__xludf.DUMMYFUNCTION("""COMPUTED_VALUE"""),"マルス")</f>
        <v>マルス</v>
      </c>
      <c r="D68" s="29"/>
      <c r="E68" s="29" t="str">
        <f>IFERROR(__xludf.DUMMYFUNCTION("""COMPUTED_VALUE"""),"ブレンデッド")</f>
        <v>ブレンデッド</v>
      </c>
      <c r="F68" s="29"/>
      <c r="G68" s="29" t="str">
        <f>IFERROR(__xludf.DUMMYFUNCTION("""COMPUTED_VALUE"""),"アウトドアラバーズ")</f>
        <v>アウトドアラバーズ</v>
      </c>
      <c r="H68" s="29"/>
      <c r="I68" s="29"/>
      <c r="J68" s="29"/>
      <c r="K68" s="29"/>
      <c r="L68" s="29" t="str">
        <f>IFERROR(__xludf.DUMMYFUNCTION("""COMPUTED_VALUE"""),"✓")</f>
        <v>✓</v>
      </c>
      <c r="M68" s="29"/>
      <c r="N68" s="30">
        <f>IFERROR(__xludf.DUMMYFUNCTION("""COMPUTED_VALUE"""),0.46)</f>
        <v>0.46</v>
      </c>
      <c r="O68" s="29"/>
      <c r="P68" s="31">
        <f>IFERROR(__xludf.DUMMYFUNCTION("""COMPUTED_VALUE"""),1100.0)</f>
        <v>1100</v>
      </c>
      <c r="Q68" s="31">
        <f>IFERROR(__xludf.DUMMYFUNCTION("""COMPUTED_VALUE"""),650.0)</f>
        <v>650</v>
      </c>
      <c r="R68" s="31"/>
      <c r="S68" s="32">
        <f>IFERROR(__xludf.DUMMYFUNCTION("""COMPUTED_VALUE"""),45908.0)</f>
        <v>45908</v>
      </c>
      <c r="T68" s="29"/>
      <c r="U68" s="29"/>
      <c r="V68" s="29"/>
      <c r="W68" s="29"/>
    </row>
    <row r="69" ht="15.75" customHeight="1">
      <c r="A69" s="29" t="str">
        <f>IFERROR(__xludf.DUMMYFUNCTION("""COMPUTED_VALUE"""),"JP")</f>
        <v>JP</v>
      </c>
      <c r="B69" s="29" t="str">
        <f>IFERROR(__xludf.DUMMYFUNCTION("""COMPUTED_VALUE"""),"ガイアフロー")</f>
        <v>ガイアフロー</v>
      </c>
      <c r="C69" s="29" t="str">
        <f>IFERROR(__xludf.DUMMYFUNCTION("""COMPUTED_VALUE"""),"ガイアフロー")</f>
        <v>ガイアフロー</v>
      </c>
      <c r="D69" s="29" t="str">
        <f>IFERROR(__xludf.DUMMYFUNCTION("""COMPUTED_VALUE"""),"静岡")</f>
        <v>静岡</v>
      </c>
      <c r="E69" s="29" t="str">
        <f>IFERROR(__xludf.DUMMYFUNCTION("""COMPUTED_VALUE"""),"シングルモルト")</f>
        <v>シングルモルト</v>
      </c>
      <c r="F69" s="29"/>
      <c r="G69" s="29" t="str">
        <f>IFERROR(__xludf.DUMMYFUNCTION("""COMPUTED_VALUE"""),"静岡 ユナイテッドS")</f>
        <v>静岡 ユナイテッドS</v>
      </c>
      <c r="H69" s="29"/>
      <c r="I69" s="29"/>
      <c r="J69" s="29"/>
      <c r="K69" s="29"/>
      <c r="L69" s="29" t="str">
        <f>IFERROR(__xludf.DUMMYFUNCTION("""COMPUTED_VALUE"""),"✓")</f>
        <v>✓</v>
      </c>
      <c r="M69" s="29"/>
      <c r="N69" s="30"/>
      <c r="O69" s="29"/>
      <c r="P69" s="31">
        <f>IFERROR(__xludf.DUMMYFUNCTION("""COMPUTED_VALUE"""),1800.0)</f>
        <v>1800</v>
      </c>
      <c r="Q69" s="31">
        <f>IFERROR(__xludf.DUMMYFUNCTION("""COMPUTED_VALUE"""),1000.0)</f>
        <v>1000</v>
      </c>
      <c r="R69" s="31"/>
      <c r="S69" s="32">
        <f>IFERROR(__xludf.DUMMYFUNCTION("""COMPUTED_VALUE"""),45817.0)</f>
        <v>45817</v>
      </c>
      <c r="T69" s="29"/>
      <c r="U69" s="29"/>
      <c r="V69" s="29"/>
      <c r="W69" s="29"/>
    </row>
    <row r="70" ht="15.75" customHeight="1">
      <c r="A70" s="29" t="str">
        <f>IFERROR(__xludf.DUMMYFUNCTION("""COMPUTED_VALUE"""),"JP")</f>
        <v>JP</v>
      </c>
      <c r="B70" s="29" t="str">
        <f>IFERROR(__xludf.DUMMYFUNCTION("""COMPUTED_VALUE"""),"ガイアフロー")</f>
        <v>ガイアフロー</v>
      </c>
      <c r="C70" s="29" t="str">
        <f>IFERROR(__xludf.DUMMYFUNCTION("""COMPUTED_VALUE"""),"ガイアフロー")</f>
        <v>ガイアフロー</v>
      </c>
      <c r="D70" s="29"/>
      <c r="E70" s="29" t="str">
        <f>IFERROR(__xludf.DUMMYFUNCTION("""COMPUTED_VALUE"""),"ブレンデッド")</f>
        <v>ブレンデッド</v>
      </c>
      <c r="F70" s="29"/>
      <c r="G70" s="29" t="str">
        <f>IFERROR(__xludf.DUMMYFUNCTION("""COMPUTED_VALUE"""),"ブレンデッドM")</f>
        <v>ブレンデッドM</v>
      </c>
      <c r="H70" s="29"/>
      <c r="I70" s="29"/>
      <c r="J70" s="29"/>
      <c r="K70" s="29"/>
      <c r="L70" s="29" t="str">
        <f>IFERROR(__xludf.DUMMYFUNCTION("""COMPUTED_VALUE"""),"✓")</f>
        <v>✓</v>
      </c>
      <c r="M70" s="29"/>
      <c r="N70" s="30"/>
      <c r="O70" s="29"/>
      <c r="P70" s="31">
        <f>IFERROR(__xludf.DUMMYFUNCTION("""COMPUTED_VALUE"""),1100.0)</f>
        <v>1100</v>
      </c>
      <c r="Q70" s="31">
        <f>IFERROR(__xludf.DUMMYFUNCTION("""COMPUTED_VALUE"""),650.0)</f>
        <v>650</v>
      </c>
      <c r="R70" s="31"/>
      <c r="S70" s="32">
        <f>IFERROR(__xludf.DUMMYFUNCTION("""COMPUTED_VALUE"""),45766.0)</f>
        <v>45766</v>
      </c>
      <c r="T70" s="29"/>
      <c r="U70" s="29"/>
      <c r="V70" s="29"/>
      <c r="W70" s="29"/>
    </row>
    <row r="71" ht="15.75" customHeight="1">
      <c r="A71" s="29" t="str">
        <f>IFERROR(__xludf.DUMMYFUNCTION("""COMPUTED_VALUE"""),"JP")</f>
        <v>JP</v>
      </c>
      <c r="B71" s="29" t="str">
        <f>IFERROR(__xludf.DUMMYFUNCTION("""COMPUTED_VALUE"""),"サクラオB&amp;D")</f>
        <v>サクラオB&amp;D</v>
      </c>
      <c r="C71" s="29" t="str">
        <f>IFERROR(__xludf.DUMMYFUNCTION("""COMPUTED_VALUE"""),"サクラオB&amp;D")</f>
        <v>サクラオB&amp;D</v>
      </c>
      <c r="D71" s="29" t="str">
        <f>IFERROR(__xludf.DUMMYFUNCTION("""COMPUTED_VALUE"""),"桜尾")</f>
        <v>桜尾</v>
      </c>
      <c r="E71" s="29" t="str">
        <f>IFERROR(__xludf.DUMMYFUNCTION("""COMPUTED_VALUE"""),"シングルモルト")</f>
        <v>シングルモルト</v>
      </c>
      <c r="F71" s="29"/>
      <c r="G71" s="29" t="str">
        <f>IFERROR(__xludf.DUMMYFUNCTION("""COMPUTED_VALUE"""),"桜尾")</f>
        <v>桜尾</v>
      </c>
      <c r="H71" s="29"/>
      <c r="I71" s="29"/>
      <c r="J71" s="29"/>
      <c r="K71" s="29"/>
      <c r="L71" s="29" t="str">
        <f>IFERROR(__xludf.DUMMYFUNCTION("""COMPUTED_VALUE"""),"✓")</f>
        <v>✓</v>
      </c>
      <c r="M71" s="29"/>
      <c r="N71" s="30"/>
      <c r="O71" s="29"/>
      <c r="P71" s="31">
        <f>IFERROR(__xludf.DUMMYFUNCTION("""COMPUTED_VALUE"""),1200.0)</f>
        <v>1200</v>
      </c>
      <c r="Q71" s="31">
        <f>IFERROR(__xludf.DUMMYFUNCTION("""COMPUTED_VALUE"""),700.0)</f>
        <v>700</v>
      </c>
      <c r="R71" s="31"/>
      <c r="S71" s="32">
        <f>IFERROR(__xludf.DUMMYFUNCTION("""COMPUTED_VALUE"""),44985.0)</f>
        <v>44985</v>
      </c>
      <c r="T71" s="29"/>
      <c r="U71" s="29"/>
      <c r="V71" s="29"/>
      <c r="W71" s="29"/>
    </row>
    <row r="72" ht="15.75" customHeight="1">
      <c r="A72" s="29" t="str">
        <f>IFERROR(__xludf.DUMMYFUNCTION("""COMPUTED_VALUE"""),"JP")</f>
        <v>JP</v>
      </c>
      <c r="B72" s="29" t="str">
        <f>IFERROR(__xludf.DUMMYFUNCTION("""COMPUTED_VALUE"""),"サクラオB&amp;D")</f>
        <v>サクラオB&amp;D</v>
      </c>
      <c r="C72" s="29" t="str">
        <f>IFERROR(__xludf.DUMMYFUNCTION("""COMPUTED_VALUE"""),"サクラオB&amp;D")</f>
        <v>サクラオB&amp;D</v>
      </c>
      <c r="D72" s="29" t="str">
        <f>IFERROR(__xludf.DUMMYFUNCTION("""COMPUTED_VALUE"""),"桜尾")</f>
        <v>桜尾</v>
      </c>
      <c r="E72" s="29" t="str">
        <f>IFERROR(__xludf.DUMMYFUNCTION("""COMPUTED_VALUE"""),"シングルモルト")</f>
        <v>シングルモルト</v>
      </c>
      <c r="F72" s="29"/>
      <c r="G72" s="29" t="str">
        <f>IFERROR(__xludf.DUMMYFUNCTION("""COMPUTED_VALUE"""),"戸河内")</f>
        <v>戸河内</v>
      </c>
      <c r="H72" s="29"/>
      <c r="I72" s="29" t="str">
        <f>IFERROR(__xludf.DUMMYFUNCTION("""COMPUTED_VALUE"""),"戸河内")</f>
        <v>戸河内</v>
      </c>
      <c r="J72" s="29"/>
      <c r="K72" s="29"/>
      <c r="L72" s="29" t="str">
        <f>IFERROR(__xludf.DUMMYFUNCTION("""COMPUTED_VALUE"""),"✓")</f>
        <v>✓</v>
      </c>
      <c r="M72" s="29"/>
      <c r="N72" s="30"/>
      <c r="O72" s="29"/>
      <c r="P72" s="31">
        <f>IFERROR(__xludf.DUMMYFUNCTION("""COMPUTED_VALUE"""),1200.0)</f>
        <v>1200</v>
      </c>
      <c r="Q72" s="31">
        <f>IFERROR(__xludf.DUMMYFUNCTION("""COMPUTED_VALUE"""),700.0)</f>
        <v>700</v>
      </c>
      <c r="R72" s="31"/>
      <c r="S72" s="32">
        <f>IFERROR(__xludf.DUMMYFUNCTION("""COMPUTED_VALUE"""),44986.0)</f>
        <v>44986</v>
      </c>
      <c r="T72" s="29"/>
      <c r="U72" s="29"/>
      <c r="V72" s="29"/>
      <c r="W72" s="29"/>
    </row>
    <row r="73" ht="15.75" customHeight="1">
      <c r="A73" s="29" t="str">
        <f>IFERROR(__xludf.DUMMYFUNCTION("""COMPUTED_VALUE"""),"JP")</f>
        <v>JP</v>
      </c>
      <c r="B73" s="29" t="str">
        <f>IFERROR(__xludf.DUMMYFUNCTION("""COMPUTED_VALUE"""),"サクラオB&amp;D")</f>
        <v>サクラオB&amp;D</v>
      </c>
      <c r="C73" s="29" t="str">
        <f>IFERROR(__xludf.DUMMYFUNCTION("""COMPUTED_VALUE"""),"サクラオB&amp;D")</f>
        <v>サクラオB&amp;D</v>
      </c>
      <c r="D73" s="29" t="str">
        <f>IFERROR(__xludf.DUMMYFUNCTION("""COMPUTED_VALUE"""),"桜尾")</f>
        <v>桜尾</v>
      </c>
      <c r="E73" s="29" t="str">
        <f>IFERROR(__xludf.DUMMYFUNCTION("""COMPUTED_VALUE"""),"ブレンデッド")</f>
        <v>ブレンデッド</v>
      </c>
      <c r="F73" s="29"/>
      <c r="G73" s="29" t="str">
        <f>IFERROR(__xludf.DUMMYFUNCTION("""COMPUTED_VALUE"""),"ソガイニ")</f>
        <v>ソガイニ</v>
      </c>
      <c r="H73" s="29"/>
      <c r="I73" s="29"/>
      <c r="J73" s="29"/>
      <c r="K73" s="29"/>
      <c r="L73" s="29" t="str">
        <f>IFERROR(__xludf.DUMMYFUNCTION("""COMPUTED_VALUE"""),"✓")</f>
        <v>✓</v>
      </c>
      <c r="M73" s="29"/>
      <c r="N73" s="30"/>
      <c r="O73" s="29"/>
      <c r="P73" s="31">
        <f>IFERROR(__xludf.DUMMYFUNCTION("""COMPUTED_VALUE"""),1000.0)</f>
        <v>1000</v>
      </c>
      <c r="Q73" s="31">
        <f>IFERROR(__xludf.DUMMYFUNCTION("""COMPUTED_VALUE"""),600.0)</f>
        <v>600</v>
      </c>
      <c r="R73" s="31"/>
      <c r="S73" s="32"/>
      <c r="T73" s="29"/>
      <c r="U73" s="29"/>
      <c r="V73" s="29"/>
      <c r="W73" s="29"/>
    </row>
    <row r="74" ht="15.75" customHeight="1">
      <c r="A74" s="29" t="str">
        <f>IFERROR(__xludf.DUMMYFUNCTION("""COMPUTED_VALUE"""),"JP")</f>
        <v>JP</v>
      </c>
      <c r="B74" s="29" t="str">
        <f>IFERROR(__xludf.DUMMYFUNCTION("""COMPUTED_VALUE"""),"金龍")</f>
        <v>金龍</v>
      </c>
      <c r="C74" s="29" t="str">
        <f>IFERROR(__xludf.DUMMYFUNCTION("""COMPUTED_VALUE"""),"金龍")</f>
        <v>金龍</v>
      </c>
      <c r="D74" s="29" t="str">
        <f>IFERROR(__xludf.DUMMYFUNCTION("""COMPUTED_VALUE"""),"遊佐")</f>
        <v>遊佐</v>
      </c>
      <c r="E74" s="29" t="str">
        <f>IFERROR(__xludf.DUMMYFUNCTION("""COMPUTED_VALUE"""),"シングルモルト")</f>
        <v>シングルモルト</v>
      </c>
      <c r="F74" s="29"/>
      <c r="G74" s="29" t="str">
        <f>IFERROR(__xludf.DUMMYFUNCTION("""COMPUTED_VALUE"""),"遊佐 2024")</f>
        <v>遊佐 2024</v>
      </c>
      <c r="H74" s="29"/>
      <c r="I74" s="29"/>
      <c r="J74" s="29"/>
      <c r="K74" s="29"/>
      <c r="L74" s="29" t="str">
        <f>IFERROR(__xludf.DUMMYFUNCTION("""COMPUTED_VALUE"""),"✓")</f>
        <v>✓</v>
      </c>
      <c r="M74" s="29"/>
      <c r="N74" s="30"/>
      <c r="O74" s="29"/>
      <c r="P74" s="31">
        <f>IFERROR(__xludf.DUMMYFUNCTION("""COMPUTED_VALUE"""),2200.0)</f>
        <v>2200</v>
      </c>
      <c r="Q74" s="31">
        <f>IFERROR(__xludf.DUMMYFUNCTION("""COMPUTED_VALUE"""),1200.0)</f>
        <v>1200</v>
      </c>
      <c r="R74" s="31"/>
      <c r="S74" s="32">
        <f>IFERROR(__xludf.DUMMYFUNCTION("""COMPUTED_VALUE"""),45511.0)</f>
        <v>45511</v>
      </c>
      <c r="T74" s="29"/>
      <c r="U74" s="29"/>
      <c r="V74" s="29"/>
      <c r="W74" s="29"/>
    </row>
    <row r="75" ht="15.75" customHeight="1">
      <c r="A75" s="29" t="str">
        <f>IFERROR(__xludf.DUMMYFUNCTION("""COMPUTED_VALUE"""),"JP")</f>
        <v>JP</v>
      </c>
      <c r="B75" s="29" t="str">
        <f>IFERROR(__xludf.DUMMYFUNCTION("""COMPUTED_VALUE"""),"小正嘉之助")</f>
        <v>小正嘉之助</v>
      </c>
      <c r="C75" s="29" t="str">
        <f>IFERROR(__xludf.DUMMYFUNCTION("""COMPUTED_VALUE"""),"小正嘉之助")</f>
        <v>小正嘉之助</v>
      </c>
      <c r="D75" s="29" t="str">
        <f>IFERROR(__xludf.DUMMYFUNCTION("""COMPUTED_VALUE"""),"嘉之助")</f>
        <v>嘉之助</v>
      </c>
      <c r="E75" s="29" t="str">
        <f>IFERROR(__xludf.DUMMYFUNCTION("""COMPUTED_VALUE"""),"シングルモルト")</f>
        <v>シングルモルト</v>
      </c>
      <c r="F75" s="29"/>
      <c r="G75" s="29" t="str">
        <f>IFERROR(__xludf.DUMMYFUNCTION("""COMPUTED_VALUE"""),"嘉之助")</f>
        <v>嘉之助</v>
      </c>
      <c r="H75" s="29"/>
      <c r="I75" s="29"/>
      <c r="J75" s="29"/>
      <c r="K75" s="29"/>
      <c r="L75" s="29" t="str">
        <f>IFERROR(__xludf.DUMMYFUNCTION("""COMPUTED_VALUE"""),"✓")</f>
        <v>✓</v>
      </c>
      <c r="M75" s="29"/>
      <c r="N75" s="30"/>
      <c r="O75" s="29"/>
      <c r="P75" s="31">
        <f>IFERROR(__xludf.DUMMYFUNCTION("""COMPUTED_VALUE"""),1600.0)</f>
        <v>1600</v>
      </c>
      <c r="Q75" s="31">
        <f>IFERROR(__xludf.DUMMYFUNCTION("""COMPUTED_VALUE"""),900.0)</f>
        <v>900</v>
      </c>
      <c r="R75" s="31"/>
      <c r="S75" s="32">
        <f>IFERROR(__xludf.DUMMYFUNCTION("""COMPUTED_VALUE"""),44984.0)</f>
        <v>44984</v>
      </c>
      <c r="T75" s="29"/>
      <c r="U75" s="29"/>
      <c r="V75" s="29"/>
      <c r="W75" s="29"/>
    </row>
    <row r="76" ht="15.75" customHeight="1">
      <c r="A76" s="29" t="str">
        <f>IFERROR(__xludf.DUMMYFUNCTION("""COMPUTED_VALUE"""),"JP")</f>
        <v>JP</v>
      </c>
      <c r="B76" s="29" t="str">
        <f>IFERROR(__xludf.DUMMYFUNCTION("""COMPUTED_VALUE"""),"江井ヶ嶋")</f>
        <v>江井ヶ嶋</v>
      </c>
      <c r="C76" s="29" t="str">
        <f>IFERROR(__xludf.DUMMYFUNCTION("""COMPUTED_VALUE"""),"江井ヶ嶋")</f>
        <v>江井ヶ嶋</v>
      </c>
      <c r="D76" s="29" t="str">
        <f>IFERROR(__xludf.DUMMYFUNCTION("""COMPUTED_VALUE"""),"江井ヶ嶋")</f>
        <v>江井ヶ嶋</v>
      </c>
      <c r="E76" s="29" t="str">
        <f>IFERROR(__xludf.DUMMYFUNCTION("""COMPUTED_VALUE"""),"シングルモルト")</f>
        <v>シングルモルト</v>
      </c>
      <c r="F76" s="29"/>
      <c r="G76" s="29" t="str">
        <f>IFERROR(__xludf.DUMMYFUNCTION("""COMPUTED_VALUE"""),"あかし")</f>
        <v>あかし</v>
      </c>
      <c r="H76" s="29"/>
      <c r="I76" s="29"/>
      <c r="J76" s="29"/>
      <c r="K76" s="29"/>
      <c r="L76" s="29" t="str">
        <f>IFERROR(__xludf.DUMMYFUNCTION("""COMPUTED_VALUE"""),"✓")</f>
        <v>✓</v>
      </c>
      <c r="M76" s="29"/>
      <c r="N76" s="30"/>
      <c r="O76" s="29"/>
      <c r="P76" s="31">
        <f>IFERROR(__xludf.DUMMYFUNCTION("""COMPUTED_VALUE"""),1200.0)</f>
        <v>1200</v>
      </c>
      <c r="Q76" s="31">
        <f>IFERROR(__xludf.DUMMYFUNCTION("""COMPUTED_VALUE"""),700.0)</f>
        <v>700</v>
      </c>
      <c r="R76" s="31"/>
      <c r="S76" s="32">
        <f>IFERROR(__xludf.DUMMYFUNCTION("""COMPUTED_VALUE"""),45741.0)</f>
        <v>45741</v>
      </c>
      <c r="T76" s="29"/>
      <c r="U76" s="29"/>
      <c r="V76" s="29"/>
      <c r="W76" s="29"/>
    </row>
    <row r="77" ht="15.75" customHeight="1">
      <c r="A77" s="29" t="str">
        <f>IFERROR(__xludf.DUMMYFUNCTION("""COMPUTED_VALUE"""),"JP")</f>
        <v>JP</v>
      </c>
      <c r="B77" s="29" t="str">
        <f>IFERROR(__xludf.DUMMYFUNCTION("""COMPUTED_VALUE"""),"江井ヶ嶋")</f>
        <v>江井ヶ嶋</v>
      </c>
      <c r="C77" s="29" t="str">
        <f>IFERROR(__xludf.DUMMYFUNCTION("""COMPUTED_VALUE"""),"江井ヶ嶋")</f>
        <v>江井ヶ嶋</v>
      </c>
      <c r="D77" s="29"/>
      <c r="E77" s="29" t="str">
        <f>IFERROR(__xludf.DUMMYFUNCTION("""COMPUTED_VALUE"""),"ブレンデッド")</f>
        <v>ブレンデッド</v>
      </c>
      <c r="F77" s="29"/>
      <c r="G77" s="29" t="str">
        <f>IFERROR(__xludf.DUMMYFUNCTION("""COMPUTED_VALUE"""),"ブレンディッド江井ヶ嶋 シェリーカスクフィニッシュ")</f>
        <v>ブレンディッド江井ヶ嶋 シェリーカスクフィニッシュ</v>
      </c>
      <c r="H77" s="29"/>
      <c r="I77" s="29"/>
      <c r="J77" s="29"/>
      <c r="K77" s="29"/>
      <c r="L77" s="29" t="str">
        <f>IFERROR(__xludf.DUMMYFUNCTION("""COMPUTED_VALUE"""),"✓")</f>
        <v>✓</v>
      </c>
      <c r="M77" s="29"/>
      <c r="N77" s="30"/>
      <c r="O77" s="29"/>
      <c r="P77" s="31">
        <f>IFERROR(__xludf.DUMMYFUNCTION("""COMPUTED_VALUE"""),1100.0)</f>
        <v>1100</v>
      </c>
      <c r="Q77" s="31">
        <f>IFERROR(__xludf.DUMMYFUNCTION("""COMPUTED_VALUE"""),650.0)</f>
        <v>650</v>
      </c>
      <c r="R77" s="31"/>
      <c r="S77" s="32"/>
      <c r="T77" s="29"/>
      <c r="U77" s="29"/>
      <c r="V77" s="29"/>
      <c r="W77" s="29"/>
    </row>
    <row r="78" ht="15.75" customHeight="1">
      <c r="A78" s="29" t="str">
        <f>IFERROR(__xludf.DUMMYFUNCTION("""COMPUTED_VALUE"""),"JP")</f>
        <v>JP</v>
      </c>
      <c r="B78" s="29" t="str">
        <f>IFERROR(__xludf.DUMMYFUNCTION("""COMPUTED_VALUE"""),"笹の川")</f>
        <v>笹の川</v>
      </c>
      <c r="C78" s="29" t="str">
        <f>IFERROR(__xludf.DUMMYFUNCTION("""COMPUTED_VALUE"""),"笹の川")</f>
        <v>笹の川</v>
      </c>
      <c r="D78" s="29" t="str">
        <f>IFERROR(__xludf.DUMMYFUNCTION("""COMPUTED_VALUE"""),"安積")</f>
        <v>安積</v>
      </c>
      <c r="E78" s="29" t="str">
        <f>IFERROR(__xludf.DUMMYFUNCTION("""COMPUTED_VALUE"""),"シングルモルト")</f>
        <v>シングルモルト</v>
      </c>
      <c r="F78" s="29"/>
      <c r="G78" s="29" t="str">
        <f>IFERROR(__xludf.DUMMYFUNCTION("""COMPUTED_VALUE"""),"安積 2022エディション")</f>
        <v>安積 2022エディション</v>
      </c>
      <c r="H78" s="29"/>
      <c r="I78" s="29"/>
      <c r="J78" s="29"/>
      <c r="K78" s="29"/>
      <c r="L78" s="29" t="str">
        <f>IFERROR(__xludf.DUMMYFUNCTION("""COMPUTED_VALUE"""),"✓")</f>
        <v>✓</v>
      </c>
      <c r="M78" s="29"/>
      <c r="N78" s="30"/>
      <c r="O78" s="29"/>
      <c r="P78" s="31">
        <f>IFERROR(__xludf.DUMMYFUNCTION("""COMPUTED_VALUE"""),2200.0)</f>
        <v>2200</v>
      </c>
      <c r="Q78" s="31">
        <f>IFERROR(__xludf.DUMMYFUNCTION("""COMPUTED_VALUE"""),1200.0)</f>
        <v>1200</v>
      </c>
      <c r="R78" s="31"/>
      <c r="S78" s="32">
        <f>IFERROR(__xludf.DUMMYFUNCTION("""COMPUTED_VALUE"""),45279.0)</f>
        <v>45279</v>
      </c>
      <c r="T78" s="29"/>
      <c r="U78" s="29"/>
      <c r="V78" s="29"/>
      <c r="W78" s="29"/>
    </row>
    <row r="79" ht="15.75" customHeight="1">
      <c r="A79" s="29" t="str">
        <f>IFERROR(__xludf.DUMMYFUNCTION("""COMPUTED_VALUE"""),"JP")</f>
        <v>JP</v>
      </c>
      <c r="B79" s="29" t="str">
        <f>IFERROR(__xludf.DUMMYFUNCTION("""COMPUTED_VALUE"""),"笹の川")</f>
        <v>笹の川</v>
      </c>
      <c r="C79" s="29" t="str">
        <f>IFERROR(__xludf.DUMMYFUNCTION("""COMPUTED_VALUE"""),"笹の川")</f>
        <v>笹の川</v>
      </c>
      <c r="D79" s="29"/>
      <c r="E79" s="29" t="str">
        <f>IFERROR(__xludf.DUMMYFUNCTION("""COMPUTED_VALUE"""),"ブレンデッド")</f>
        <v>ブレンデッド</v>
      </c>
      <c r="F79" s="29"/>
      <c r="G79" s="29" t="str">
        <f>IFERROR(__xludf.DUMMYFUNCTION("""COMPUTED_VALUE"""),"山桜 黒ラベル")</f>
        <v>山桜 黒ラベル</v>
      </c>
      <c r="H79" s="29"/>
      <c r="I79" s="29"/>
      <c r="J79" s="29"/>
      <c r="K79" s="29"/>
      <c r="L79" s="29" t="str">
        <f>IFERROR(__xludf.DUMMYFUNCTION("""COMPUTED_VALUE"""),"✓")</f>
        <v>✓</v>
      </c>
      <c r="M79" s="29"/>
      <c r="N79" s="30"/>
      <c r="O79" s="29"/>
      <c r="P79" s="31">
        <f>IFERROR(__xludf.DUMMYFUNCTION("""COMPUTED_VALUE"""),900.0)</f>
        <v>900</v>
      </c>
      <c r="Q79" s="31">
        <f>IFERROR(__xludf.DUMMYFUNCTION("""COMPUTED_VALUE"""),550.0)</f>
        <v>550</v>
      </c>
      <c r="R79" s="31"/>
      <c r="S79" s="32"/>
      <c r="T79" s="29"/>
      <c r="U79" s="29"/>
      <c r="V79" s="29"/>
      <c r="W79" s="29"/>
    </row>
    <row r="80" ht="15.75" customHeight="1">
      <c r="A80" s="29" t="str">
        <f>IFERROR(__xludf.DUMMYFUNCTION("""COMPUTED_VALUE"""),"JP")</f>
        <v>JP</v>
      </c>
      <c r="B80" s="29" t="str">
        <f>IFERROR(__xludf.DUMMYFUNCTION("""COMPUTED_VALUE"""),"笹の川")</f>
        <v>笹の川</v>
      </c>
      <c r="C80" s="29" t="str">
        <f>IFERROR(__xludf.DUMMYFUNCTION("""COMPUTED_VALUE"""),"笹の川")</f>
        <v>笹の川</v>
      </c>
      <c r="D80" s="29"/>
      <c r="E80" s="29" t="str">
        <f>IFERROR(__xludf.DUMMYFUNCTION("""COMPUTED_VALUE"""),"ブレンデッド")</f>
        <v>ブレンデッド</v>
      </c>
      <c r="F80" s="29"/>
      <c r="G80" s="29" t="str">
        <f>IFERROR(__xludf.DUMMYFUNCTION("""COMPUTED_VALUE"""),"チェリーEX")</f>
        <v>チェリーEX</v>
      </c>
      <c r="H80" s="29"/>
      <c r="I80" s="29"/>
      <c r="J80" s="29"/>
      <c r="K80" s="29"/>
      <c r="L80" s="29" t="str">
        <f>IFERROR(__xludf.DUMMYFUNCTION("""COMPUTED_VALUE"""),"✓")</f>
        <v>✓</v>
      </c>
      <c r="M80" s="29"/>
      <c r="N80" s="30">
        <f>IFERROR(__xludf.DUMMYFUNCTION("""COMPUTED_VALUE"""),0.4)</f>
        <v>0.4</v>
      </c>
      <c r="O80" s="29"/>
      <c r="P80" s="31">
        <f>IFERROR(__xludf.DUMMYFUNCTION("""COMPUTED_VALUE"""),900.0)</f>
        <v>900</v>
      </c>
      <c r="Q80" s="31">
        <f>IFERROR(__xludf.DUMMYFUNCTION("""COMPUTED_VALUE"""),550.0)</f>
        <v>550</v>
      </c>
      <c r="R80" s="31"/>
      <c r="S80" s="32">
        <f>IFERROR(__xludf.DUMMYFUNCTION("""COMPUTED_VALUE"""),45876.0)</f>
        <v>45876</v>
      </c>
      <c r="T80" s="29"/>
      <c r="U80" s="29"/>
      <c r="V80" s="29"/>
      <c r="W80" s="29"/>
    </row>
    <row r="81" ht="15.75" customHeight="1">
      <c r="A81" s="29" t="str">
        <f>IFERROR(__xludf.DUMMYFUNCTION("""COMPUTED_VALUE"""),"JP")</f>
        <v>JP</v>
      </c>
      <c r="B81" s="29" t="str">
        <f>IFERROR(__xludf.DUMMYFUNCTION("""COMPUTED_VALUE"""),"清州桜醸造")</f>
        <v>清州桜醸造</v>
      </c>
      <c r="C81" s="29" t="str">
        <f>IFERROR(__xludf.DUMMYFUNCTION("""COMPUTED_VALUE"""),"清州桜醸造")</f>
        <v>清州桜醸造</v>
      </c>
      <c r="D81" s="29" t="str">
        <f>IFERROR(__xludf.DUMMYFUNCTION("""COMPUTED_VALUE"""),"清洲")</f>
        <v>清洲</v>
      </c>
      <c r="E81" s="29" t="str">
        <f>IFERROR(__xludf.DUMMYFUNCTION("""COMPUTED_VALUE"""),"シングルグレーン")</f>
        <v>シングルグレーン</v>
      </c>
      <c r="F81" s="29"/>
      <c r="G81" s="29" t="str">
        <f>IFERROR(__xludf.DUMMYFUNCTION("""COMPUTED_VALUE"""),"シングルグレーン清須")</f>
        <v>シングルグレーン清須</v>
      </c>
      <c r="H81" s="29"/>
      <c r="I81" s="29"/>
      <c r="J81" s="29"/>
      <c r="K81" s="29"/>
      <c r="L81" s="29" t="str">
        <f>IFERROR(__xludf.DUMMYFUNCTION("""COMPUTED_VALUE"""),"✓")</f>
        <v>✓</v>
      </c>
      <c r="M81" s="29"/>
      <c r="N81" s="30"/>
      <c r="O81" s="29"/>
      <c r="P81" s="31">
        <f>IFERROR(__xludf.DUMMYFUNCTION("""COMPUTED_VALUE"""),1000.0)</f>
        <v>1000</v>
      </c>
      <c r="Q81" s="31">
        <f>IFERROR(__xludf.DUMMYFUNCTION("""COMPUTED_VALUE"""),600.0)</f>
        <v>600</v>
      </c>
      <c r="R81" s="31"/>
      <c r="S81" s="32">
        <f>IFERROR(__xludf.DUMMYFUNCTION("""COMPUTED_VALUE"""),45642.0)</f>
        <v>45642</v>
      </c>
      <c r="T81" s="29"/>
      <c r="U81" s="29"/>
      <c r="V81" s="29"/>
      <c r="W81" s="29"/>
    </row>
    <row r="82" ht="15.75" customHeight="1">
      <c r="A82" s="29" t="str">
        <f>IFERROR(__xludf.DUMMYFUNCTION("""COMPUTED_VALUE"""),"JP")</f>
        <v>JP</v>
      </c>
      <c r="B82" s="29" t="str">
        <f>IFERROR(__xludf.DUMMYFUNCTION("""COMPUTED_VALUE"""),"清州桜醸造")</f>
        <v>清州桜醸造</v>
      </c>
      <c r="C82" s="29" t="str">
        <f>IFERROR(__xludf.DUMMYFUNCTION("""COMPUTED_VALUE"""),"清州桜醸造")</f>
        <v>清州桜醸造</v>
      </c>
      <c r="D82" s="29"/>
      <c r="E82" s="29" t="str">
        <f>IFERROR(__xludf.DUMMYFUNCTION("""COMPUTED_VALUE"""),"ブレンデッド")</f>
        <v>ブレンデッド</v>
      </c>
      <c r="F82" s="29"/>
      <c r="G82" s="29" t="str">
        <f>IFERROR(__xludf.DUMMYFUNCTION("""COMPUTED_VALUE"""),"キヨス")</f>
        <v>キヨス</v>
      </c>
      <c r="H82" s="29"/>
      <c r="I82" s="29"/>
      <c r="J82" s="29"/>
      <c r="K82" s="29"/>
      <c r="L82" s="29" t="str">
        <f>IFERROR(__xludf.DUMMYFUNCTION("""COMPUTED_VALUE"""),"✓")</f>
        <v>✓</v>
      </c>
      <c r="M82" s="29"/>
      <c r="N82" s="30"/>
      <c r="O82" s="29"/>
      <c r="P82" s="31">
        <f>IFERROR(__xludf.DUMMYFUNCTION("""COMPUTED_VALUE"""),1000.0)</f>
        <v>1000</v>
      </c>
      <c r="Q82" s="31">
        <f>IFERROR(__xludf.DUMMYFUNCTION("""COMPUTED_VALUE"""),600.0)</f>
        <v>600</v>
      </c>
      <c r="R82" s="31"/>
      <c r="S82" s="32">
        <f>IFERROR(__xludf.DUMMYFUNCTION("""COMPUTED_VALUE"""),45645.0)</f>
        <v>45645</v>
      </c>
      <c r="T82" s="29"/>
      <c r="U82" s="29"/>
      <c r="V82" s="29"/>
      <c r="W82" s="29"/>
    </row>
    <row r="83" ht="15.75" customHeight="1">
      <c r="A83" s="29" t="str">
        <f>IFERROR(__xludf.DUMMYFUNCTION("""COMPUTED_VALUE"""),"Sc")</f>
        <v>Sc</v>
      </c>
      <c r="B83" s="29"/>
      <c r="C83" s="29" t="str">
        <f>IFERROR(__xludf.DUMMYFUNCTION("""COMPUTED_VALUE"""),"サントリー")</f>
        <v>サントリー</v>
      </c>
      <c r="D83" s="29"/>
      <c r="E83" s="29" t="str">
        <f>IFERROR(__xludf.DUMMYFUNCTION("""COMPUTED_VALUE"""),"シングルモルト")</f>
        <v>シングルモルト</v>
      </c>
      <c r="F83" s="29"/>
      <c r="G83" s="29" t="str">
        <f>IFERROR(__xludf.DUMMYFUNCTION("""COMPUTED_VALUE"""),"グレンフィディック 12年")</f>
        <v>グレンフィディック 12年</v>
      </c>
      <c r="H83" s="29"/>
      <c r="I83" s="29"/>
      <c r="J83" s="29"/>
      <c r="K83" s="29"/>
      <c r="L83" s="29" t="str">
        <f>IFERROR(__xludf.DUMMYFUNCTION("""COMPUTED_VALUE"""),"✓")</f>
        <v>✓</v>
      </c>
      <c r="M83" s="29"/>
      <c r="N83" s="30"/>
      <c r="O83" s="29"/>
      <c r="P83" s="31">
        <f>IFERROR(__xludf.DUMMYFUNCTION("""COMPUTED_VALUE"""),1100.0)</f>
        <v>1100</v>
      </c>
      <c r="Q83" s="31">
        <f>IFERROR(__xludf.DUMMYFUNCTION("""COMPUTED_VALUE"""),650.0)</f>
        <v>650</v>
      </c>
      <c r="R83" s="31"/>
      <c r="S83" s="32"/>
      <c r="T83" s="29"/>
      <c r="U83" s="29"/>
      <c r="V83" s="29"/>
      <c r="W83" s="29"/>
    </row>
    <row r="84" ht="15.75" customHeight="1">
      <c r="A84" s="29" t="str">
        <f>IFERROR(__xludf.DUMMYFUNCTION("""COMPUTED_VALUE"""),"Sc")</f>
        <v>Sc</v>
      </c>
      <c r="B84" s="29"/>
      <c r="C84" s="29" t="str">
        <f>IFERROR(__xludf.DUMMYFUNCTION("""COMPUTED_VALUE"""),"サントリー")</f>
        <v>サントリー</v>
      </c>
      <c r="D84" s="29"/>
      <c r="E84" s="29" t="str">
        <f>IFERROR(__xludf.DUMMYFUNCTION("""COMPUTED_VALUE"""),"シングルモルト")</f>
        <v>シングルモルト</v>
      </c>
      <c r="F84" s="29"/>
      <c r="G84" s="29" t="str">
        <f>IFERROR(__xludf.DUMMYFUNCTION("""COMPUTED_VALUE"""),"スキャパ スキレン")</f>
        <v>スキャパ スキレン</v>
      </c>
      <c r="H84" s="29"/>
      <c r="I84" s="29"/>
      <c r="J84" s="29"/>
      <c r="K84" s="29"/>
      <c r="L84" s="29" t="str">
        <f>IFERROR(__xludf.DUMMYFUNCTION("""COMPUTED_VALUE"""),"✓")</f>
        <v>✓</v>
      </c>
      <c r="M84" s="29"/>
      <c r="N84" s="30"/>
      <c r="O84" s="29"/>
      <c r="P84" s="31">
        <f>IFERROR(__xludf.DUMMYFUNCTION("""COMPUTED_VALUE"""),1300.0)</f>
        <v>1300</v>
      </c>
      <c r="Q84" s="31">
        <f>IFERROR(__xludf.DUMMYFUNCTION("""COMPUTED_VALUE"""),750.0)</f>
        <v>750</v>
      </c>
      <c r="R84" s="31"/>
      <c r="S84" s="32"/>
      <c r="T84" s="29"/>
      <c r="U84" s="29"/>
      <c r="V84" s="29"/>
      <c r="W84" s="29"/>
    </row>
    <row r="85" ht="15.75" customHeight="1">
      <c r="A85" s="29" t="str">
        <f>IFERROR(__xludf.DUMMYFUNCTION("""COMPUTED_VALUE"""),"Sc")</f>
        <v>Sc</v>
      </c>
      <c r="B85" s="29"/>
      <c r="C85" s="29" t="str">
        <f>IFERROR(__xludf.DUMMYFUNCTION("""COMPUTED_VALUE"""),"サントリー")</f>
        <v>サントリー</v>
      </c>
      <c r="D85" s="29"/>
      <c r="E85" s="29" t="str">
        <f>IFERROR(__xludf.DUMMYFUNCTION("""COMPUTED_VALUE"""),"シングルモルト")</f>
        <v>シングルモルト</v>
      </c>
      <c r="F85" s="29"/>
      <c r="G85" s="29" t="str">
        <f>IFERROR(__xludf.DUMMYFUNCTION("""COMPUTED_VALUE"""),"ボウモア 12年")</f>
        <v>ボウモア 12年</v>
      </c>
      <c r="H85" s="29"/>
      <c r="I85" s="29"/>
      <c r="J85" s="29"/>
      <c r="K85" s="29"/>
      <c r="L85" s="29" t="str">
        <f>IFERROR(__xludf.DUMMYFUNCTION("""COMPUTED_VALUE"""),"✓")</f>
        <v>✓</v>
      </c>
      <c r="M85" s="29"/>
      <c r="N85" s="30"/>
      <c r="O85" s="29"/>
      <c r="P85" s="31">
        <f>IFERROR(__xludf.DUMMYFUNCTION("""COMPUTED_VALUE"""),1300.0)</f>
        <v>1300</v>
      </c>
      <c r="Q85" s="31">
        <f>IFERROR(__xludf.DUMMYFUNCTION("""COMPUTED_VALUE"""),750.0)</f>
        <v>750</v>
      </c>
      <c r="R85" s="31"/>
      <c r="S85" s="32"/>
      <c r="T85" s="29"/>
      <c r="U85" s="29"/>
      <c r="V85" s="29"/>
      <c r="W85" s="29"/>
    </row>
    <row r="86" ht="15.75" customHeight="1">
      <c r="A86" s="29" t="str">
        <f>IFERROR(__xludf.DUMMYFUNCTION("""COMPUTED_VALUE"""),"Sc")</f>
        <v>Sc</v>
      </c>
      <c r="B86" s="29"/>
      <c r="C86" s="29" t="str">
        <f>IFERROR(__xludf.DUMMYFUNCTION("""COMPUTED_VALUE"""),"サントリー")</f>
        <v>サントリー</v>
      </c>
      <c r="D86" s="29"/>
      <c r="E86" s="29" t="str">
        <f>IFERROR(__xludf.DUMMYFUNCTION("""COMPUTED_VALUE"""),"シングルモルト")</f>
        <v>シングルモルト</v>
      </c>
      <c r="F86" s="29"/>
      <c r="G86" s="29" t="str">
        <f>IFERROR(__xludf.DUMMYFUNCTION("""COMPUTED_VALUE"""),"マッカラン 12年")</f>
        <v>マッカラン 12年</v>
      </c>
      <c r="H86" s="29"/>
      <c r="I86" s="29"/>
      <c r="J86" s="29"/>
      <c r="K86" s="29"/>
      <c r="L86" s="29" t="str">
        <f>IFERROR(__xludf.DUMMYFUNCTION("""COMPUTED_VALUE"""),"✓")</f>
        <v>✓</v>
      </c>
      <c r="M86" s="29"/>
      <c r="N86" s="30"/>
      <c r="O86" s="29"/>
      <c r="P86" s="31">
        <f>IFERROR(__xludf.DUMMYFUNCTION("""COMPUTED_VALUE"""),2200.0)</f>
        <v>2200</v>
      </c>
      <c r="Q86" s="31">
        <f>IFERROR(__xludf.DUMMYFUNCTION("""COMPUTED_VALUE"""),1200.0)</f>
        <v>1200</v>
      </c>
      <c r="R86" s="31"/>
      <c r="S86" s="32"/>
      <c r="T86" s="29"/>
      <c r="U86" s="29"/>
      <c r="V86" s="29"/>
      <c r="W86" s="29"/>
    </row>
    <row r="87" ht="15.75" customHeight="1">
      <c r="A87" s="29" t="str">
        <f>IFERROR(__xludf.DUMMYFUNCTION("""COMPUTED_VALUE"""),"Sc")</f>
        <v>Sc</v>
      </c>
      <c r="B87" s="29"/>
      <c r="C87" s="29" t="str">
        <f>IFERROR(__xludf.DUMMYFUNCTION("""COMPUTED_VALUE"""),"サントリー")</f>
        <v>サントリー</v>
      </c>
      <c r="D87" s="29"/>
      <c r="E87" s="29" t="str">
        <f>IFERROR(__xludf.DUMMYFUNCTION("""COMPUTED_VALUE"""),"シングルモルト")</f>
        <v>シングルモルト</v>
      </c>
      <c r="F87" s="29"/>
      <c r="G87" s="29" t="str">
        <f>IFERROR(__xludf.DUMMYFUNCTION("""COMPUTED_VALUE"""),"ラフロイグ 10年")</f>
        <v>ラフロイグ 10年</v>
      </c>
      <c r="H87" s="29"/>
      <c r="I87" s="29"/>
      <c r="J87" s="29"/>
      <c r="K87" s="29"/>
      <c r="L87" s="29" t="str">
        <f>IFERROR(__xludf.DUMMYFUNCTION("""COMPUTED_VALUE"""),"✓")</f>
        <v>✓</v>
      </c>
      <c r="M87" s="29"/>
      <c r="N87" s="30"/>
      <c r="O87" s="29"/>
      <c r="P87" s="31">
        <f>IFERROR(__xludf.DUMMYFUNCTION("""COMPUTED_VALUE"""),1400.0)</f>
        <v>1400</v>
      </c>
      <c r="Q87" s="31">
        <f>IFERROR(__xludf.DUMMYFUNCTION("""COMPUTED_VALUE"""),800.0)</f>
        <v>800</v>
      </c>
      <c r="R87" s="31"/>
      <c r="S87" s="32"/>
      <c r="T87" s="29"/>
      <c r="U87" s="29"/>
      <c r="V87" s="29"/>
      <c r="W87" s="29"/>
    </row>
    <row r="88" ht="15.75" customHeight="1">
      <c r="A88" s="29" t="str">
        <f>IFERROR(__xludf.DUMMYFUNCTION("""COMPUTED_VALUE"""),"Sc")</f>
        <v>Sc</v>
      </c>
      <c r="B88" s="29"/>
      <c r="C88" s="29" t="str">
        <f>IFERROR(__xludf.DUMMYFUNCTION("""COMPUTED_VALUE"""),"MHD")</f>
        <v>MHD</v>
      </c>
      <c r="D88" s="29"/>
      <c r="E88" s="29" t="str">
        <f>IFERROR(__xludf.DUMMYFUNCTION("""COMPUTED_VALUE"""),"シングルモルト")</f>
        <v>シングルモルト</v>
      </c>
      <c r="F88" s="29"/>
      <c r="G88" s="29" t="str">
        <f>IFERROR(__xludf.DUMMYFUNCTION("""COMPUTED_VALUE"""),"アードベッグ 10年")</f>
        <v>アードベッグ 10年</v>
      </c>
      <c r="H88" s="29"/>
      <c r="I88" s="29"/>
      <c r="J88" s="29"/>
      <c r="K88" s="29"/>
      <c r="L88" s="29" t="str">
        <f>IFERROR(__xludf.DUMMYFUNCTION("""COMPUTED_VALUE"""),"✓")</f>
        <v>✓</v>
      </c>
      <c r="M88" s="29"/>
      <c r="N88" s="30"/>
      <c r="O88" s="29"/>
      <c r="P88" s="31">
        <f>IFERROR(__xludf.DUMMYFUNCTION("""COMPUTED_VALUE"""),1300.0)</f>
        <v>1300</v>
      </c>
      <c r="Q88" s="31">
        <f>IFERROR(__xludf.DUMMYFUNCTION("""COMPUTED_VALUE"""),750.0)</f>
        <v>750</v>
      </c>
      <c r="R88" s="31"/>
      <c r="S88" s="32"/>
      <c r="T88" s="29"/>
      <c r="U88" s="29"/>
      <c r="V88" s="29"/>
      <c r="W88" s="29"/>
    </row>
    <row r="89" ht="15.75" customHeight="1">
      <c r="A89" s="29" t="str">
        <f>IFERROR(__xludf.DUMMYFUNCTION("""COMPUTED_VALUE"""),"Sc")</f>
        <v>Sc</v>
      </c>
      <c r="B89" s="29"/>
      <c r="C89" s="29" t="str">
        <f>IFERROR(__xludf.DUMMYFUNCTION("""COMPUTED_VALUE"""),"MHD")</f>
        <v>MHD</v>
      </c>
      <c r="D89" s="29"/>
      <c r="E89" s="29" t="str">
        <f>IFERROR(__xludf.DUMMYFUNCTION("""COMPUTED_VALUE"""),"シングルモルト")</f>
        <v>シングルモルト</v>
      </c>
      <c r="F89" s="29"/>
      <c r="G89" s="29" t="str">
        <f>IFERROR(__xludf.DUMMYFUNCTION("""COMPUTED_VALUE"""),"アードベッグ コリーヴレッカン")</f>
        <v>アードベッグ コリーヴレッカン</v>
      </c>
      <c r="H89" s="29"/>
      <c r="I89" s="29"/>
      <c r="J89" s="29"/>
      <c r="K89" s="29"/>
      <c r="L89" s="29" t="str">
        <f>IFERROR(__xludf.DUMMYFUNCTION("""COMPUTED_VALUE"""),"✓")</f>
        <v>✓</v>
      </c>
      <c r="M89" s="29"/>
      <c r="N89" s="30"/>
      <c r="O89" s="29"/>
      <c r="P89" s="31">
        <f>IFERROR(__xludf.DUMMYFUNCTION("""COMPUTED_VALUE"""),1800.0)</f>
        <v>1800</v>
      </c>
      <c r="Q89" s="31">
        <f>IFERROR(__xludf.DUMMYFUNCTION("""COMPUTED_VALUE"""),1000.0)</f>
        <v>1000</v>
      </c>
      <c r="R89" s="31"/>
      <c r="S89" s="32"/>
      <c r="T89" s="29"/>
      <c r="U89" s="29"/>
      <c r="V89" s="29"/>
      <c r="W89" s="29"/>
    </row>
    <row r="90" ht="15.75" customHeight="1">
      <c r="A90" s="29" t="str">
        <f>IFERROR(__xludf.DUMMYFUNCTION("""COMPUTED_VALUE"""),"Sc")</f>
        <v>Sc</v>
      </c>
      <c r="B90" s="29"/>
      <c r="C90" s="29" t="str">
        <f>IFERROR(__xludf.DUMMYFUNCTION("""COMPUTED_VALUE"""),"カンパリ")</f>
        <v>カンパリ</v>
      </c>
      <c r="D90" s="29"/>
      <c r="E90" s="29" t="str">
        <f>IFERROR(__xludf.DUMMYFUNCTION("""COMPUTED_VALUE"""),"シングルモルト")</f>
        <v>シングルモルト</v>
      </c>
      <c r="F90" s="29"/>
      <c r="G90" s="29" t="str">
        <f>IFERROR(__xludf.DUMMYFUNCTION("""COMPUTED_VALUE"""),"グレングラント アルボラリス")</f>
        <v>グレングラント アルボラリス</v>
      </c>
      <c r="H90" s="29"/>
      <c r="I90" s="29"/>
      <c r="J90" s="29"/>
      <c r="K90" s="29"/>
      <c r="L90" s="29" t="str">
        <f>IFERROR(__xludf.DUMMYFUNCTION("""COMPUTED_VALUE"""),"✓")</f>
        <v>✓</v>
      </c>
      <c r="M90" s="29"/>
      <c r="N90" s="30"/>
      <c r="O90" s="29"/>
      <c r="P90" s="31">
        <f>IFERROR(__xludf.DUMMYFUNCTION("""COMPUTED_VALUE"""),1100.0)</f>
        <v>1100</v>
      </c>
      <c r="Q90" s="31">
        <f>IFERROR(__xludf.DUMMYFUNCTION("""COMPUTED_VALUE"""),650.0)</f>
        <v>650</v>
      </c>
      <c r="R90" s="31"/>
      <c r="S90" s="32"/>
      <c r="T90" s="29"/>
      <c r="U90" s="29"/>
      <c r="V90" s="29"/>
      <c r="W90" s="29"/>
    </row>
    <row r="91" ht="15.75" customHeight="1">
      <c r="A91" s="29" t="str">
        <f>IFERROR(__xludf.DUMMYFUNCTION("""COMPUTED_VALUE"""),"Sc")</f>
        <v>Sc</v>
      </c>
      <c r="B91" s="29"/>
      <c r="C91" s="29" t="str">
        <f>IFERROR(__xludf.DUMMYFUNCTION("""COMPUTED_VALUE"""),"ペルノリカール")</f>
        <v>ペルノリカール</v>
      </c>
      <c r="D91" s="29"/>
      <c r="E91" s="29" t="str">
        <f>IFERROR(__xludf.DUMMYFUNCTION("""COMPUTED_VALUE"""),"シングルモルト")</f>
        <v>シングルモルト</v>
      </c>
      <c r="F91" s="29"/>
      <c r="G91" s="29" t="str">
        <f>IFERROR(__xludf.DUMMYFUNCTION("""COMPUTED_VALUE"""),"グレンリヴェット 12年 ダブルオーク")</f>
        <v>グレンリヴェット 12年 ダブルオーク</v>
      </c>
      <c r="H91" s="29"/>
      <c r="I91" s="29"/>
      <c r="J91" s="29"/>
      <c r="K91" s="29"/>
      <c r="L91" s="29" t="str">
        <f>IFERROR(__xludf.DUMMYFUNCTION("""COMPUTED_VALUE"""),"✓")</f>
        <v>✓</v>
      </c>
      <c r="M91" s="29"/>
      <c r="N91" s="30"/>
      <c r="O91" s="29"/>
      <c r="P91" s="31">
        <f>IFERROR(__xludf.DUMMYFUNCTION("""COMPUTED_VALUE"""),1300.0)</f>
        <v>1300</v>
      </c>
      <c r="Q91" s="31">
        <f>IFERROR(__xludf.DUMMYFUNCTION("""COMPUTED_VALUE"""),750.0)</f>
        <v>750</v>
      </c>
      <c r="R91" s="31"/>
      <c r="S91" s="32"/>
      <c r="T91" s="29"/>
      <c r="U91" s="29"/>
      <c r="V91" s="29"/>
      <c r="W91" s="29"/>
    </row>
    <row r="92" ht="15.75" customHeight="1">
      <c r="A92" s="29" t="str">
        <f>IFERROR(__xludf.DUMMYFUNCTION("""COMPUTED_VALUE"""),"Sc")</f>
        <v>Sc</v>
      </c>
      <c r="B92" s="29"/>
      <c r="C92" s="29" t="str">
        <f>IFERROR(__xludf.DUMMYFUNCTION("""COMPUTED_VALUE"""),"MHD")</f>
        <v>MHD</v>
      </c>
      <c r="D92" s="29"/>
      <c r="E92" s="29" t="str">
        <f>IFERROR(__xludf.DUMMYFUNCTION("""COMPUTED_VALUE"""),"シングルモルト")</f>
        <v>シングルモルト</v>
      </c>
      <c r="F92" s="29"/>
      <c r="G92" s="29" t="str">
        <f>IFERROR(__xludf.DUMMYFUNCTION("""COMPUTED_VALUE"""),"ラガヴーリン 16年")</f>
        <v>ラガヴーリン 16年</v>
      </c>
      <c r="H92" s="29"/>
      <c r="I92" s="29"/>
      <c r="J92" s="29"/>
      <c r="K92" s="29"/>
      <c r="L92" s="29" t="str">
        <f>IFERROR(__xludf.DUMMYFUNCTION("""COMPUTED_VALUE"""),"✓")</f>
        <v>✓</v>
      </c>
      <c r="M92" s="29"/>
      <c r="N92" s="30"/>
      <c r="O92" s="29"/>
      <c r="P92" s="31">
        <f>IFERROR(__xludf.DUMMYFUNCTION("""COMPUTED_VALUE"""),2400.0)</f>
        <v>2400</v>
      </c>
      <c r="Q92" s="31">
        <f>IFERROR(__xludf.DUMMYFUNCTION("""COMPUTED_VALUE"""),1300.0)</f>
        <v>1300</v>
      </c>
      <c r="R92" s="31"/>
      <c r="S92" s="32"/>
      <c r="T92" s="29"/>
      <c r="U92" s="29"/>
      <c r="V92" s="29"/>
      <c r="W92" s="29"/>
    </row>
    <row r="93" ht="15.75" customHeight="1">
      <c r="A93" s="29" t="str">
        <f>IFERROR(__xludf.DUMMYFUNCTION("""COMPUTED_VALUE"""),"Sc")</f>
        <v>Sc</v>
      </c>
      <c r="B93" s="29"/>
      <c r="C93" s="29" t="str">
        <f>IFERROR(__xludf.DUMMYFUNCTION("""COMPUTED_VALUE"""),"ダグラスレイン")</f>
        <v>ダグラスレイン</v>
      </c>
      <c r="D93" s="29"/>
      <c r="E93" s="29" t="str">
        <f>IFERROR(__xludf.DUMMYFUNCTION("""COMPUTED_VALUE"""),"ブレンデッドモルト")</f>
        <v>ブレンデッドモルト</v>
      </c>
      <c r="F93" s="29"/>
      <c r="G93" s="29" t="str">
        <f>IFERROR(__xludf.DUMMYFUNCTION("""COMPUTED_VALUE"""),"ビッグピート")</f>
        <v>ビッグピート</v>
      </c>
      <c r="H93" s="29"/>
      <c r="I93" s="29"/>
      <c r="J93" s="29"/>
      <c r="K93" s="29"/>
      <c r="L93" s="29" t="str">
        <f>IFERROR(__xludf.DUMMYFUNCTION("""COMPUTED_VALUE"""),"✓")</f>
        <v>✓</v>
      </c>
      <c r="M93" s="29"/>
      <c r="N93" s="30"/>
      <c r="O93" s="29"/>
      <c r="P93" s="31">
        <f>IFERROR(__xludf.DUMMYFUNCTION("""COMPUTED_VALUE"""),1300.0)</f>
        <v>1300</v>
      </c>
      <c r="Q93" s="31">
        <f>IFERROR(__xludf.DUMMYFUNCTION("""COMPUTED_VALUE"""),750.0)</f>
        <v>750</v>
      </c>
      <c r="R93" s="31"/>
      <c r="S93" s="32"/>
      <c r="T93" s="29"/>
      <c r="U93" s="29"/>
      <c r="V93" s="29"/>
      <c r="W93" s="29"/>
    </row>
    <row r="94" ht="15.75" customHeight="1">
      <c r="A94" s="29" t="str">
        <f>IFERROR(__xludf.DUMMYFUNCTION("""COMPUTED_VALUE"""),"Sc")</f>
        <v>Sc</v>
      </c>
      <c r="B94" s="29"/>
      <c r="C94" s="29" t="str">
        <f>IFERROR(__xludf.DUMMYFUNCTION("""COMPUTED_VALUE"""),"サントリー")</f>
        <v>サントリー</v>
      </c>
      <c r="D94" s="29"/>
      <c r="E94" s="29" t="str">
        <f>IFERROR(__xludf.DUMMYFUNCTION("""COMPUTED_VALUE"""),"ブレンデッド")</f>
        <v>ブレンデッド</v>
      </c>
      <c r="F94" s="29"/>
      <c r="G94" s="29" t="str">
        <f>IFERROR(__xludf.DUMMYFUNCTION("""COMPUTED_VALUE"""),"バランタイン 10年")</f>
        <v>バランタイン 10年</v>
      </c>
      <c r="H94" s="29"/>
      <c r="I94" s="29"/>
      <c r="J94" s="29"/>
      <c r="K94" s="29"/>
      <c r="L94" s="29" t="str">
        <f>IFERROR(__xludf.DUMMYFUNCTION("""COMPUTED_VALUE"""),"✓")</f>
        <v>✓</v>
      </c>
      <c r="M94" s="29"/>
      <c r="N94" s="30"/>
      <c r="O94" s="29"/>
      <c r="P94" s="31">
        <f>IFERROR(__xludf.DUMMYFUNCTION("""COMPUTED_VALUE"""),900.0)</f>
        <v>900</v>
      </c>
      <c r="Q94" s="31">
        <f>IFERROR(__xludf.DUMMYFUNCTION("""COMPUTED_VALUE"""),550.0)</f>
        <v>550</v>
      </c>
      <c r="R94" s="31"/>
      <c r="S94" s="32"/>
      <c r="T94" s="29"/>
      <c r="U94" s="29"/>
      <c r="V94" s="29"/>
      <c r="W94" s="29"/>
    </row>
    <row r="95" ht="15.75" customHeight="1">
      <c r="A95" s="29" t="str">
        <f>IFERROR(__xludf.DUMMYFUNCTION("""COMPUTED_VALUE"""),"Sc")</f>
        <v>Sc</v>
      </c>
      <c r="B95" s="29"/>
      <c r="C95" s="29" t="str">
        <f>IFERROR(__xludf.DUMMYFUNCTION("""COMPUTED_VALUE"""),"ペルノリカール")</f>
        <v>ペルノリカール</v>
      </c>
      <c r="D95" s="29"/>
      <c r="E95" s="29" t="str">
        <f>IFERROR(__xludf.DUMMYFUNCTION("""COMPUTED_VALUE"""),"ブレンデッド")</f>
        <v>ブレンデッド</v>
      </c>
      <c r="F95" s="29"/>
      <c r="G95" s="29" t="str">
        <f>IFERROR(__xludf.DUMMYFUNCTION("""COMPUTED_VALUE"""),"シーバスリーガル 12年")</f>
        <v>シーバスリーガル 12年</v>
      </c>
      <c r="H95" s="29"/>
      <c r="I95" s="29"/>
      <c r="J95" s="29"/>
      <c r="K95" s="29"/>
      <c r="L95" s="29" t="str">
        <f>IFERROR(__xludf.DUMMYFUNCTION("""COMPUTED_VALUE"""),"✓")</f>
        <v>✓</v>
      </c>
      <c r="M95" s="29"/>
      <c r="N95" s="30"/>
      <c r="O95" s="29"/>
      <c r="P95" s="31">
        <f>IFERROR(__xludf.DUMMYFUNCTION("""COMPUTED_VALUE"""),900.0)</f>
        <v>900</v>
      </c>
      <c r="Q95" s="31">
        <f>IFERROR(__xludf.DUMMYFUNCTION("""COMPUTED_VALUE"""),550.0)</f>
        <v>550</v>
      </c>
      <c r="R95" s="31"/>
      <c r="S95" s="32"/>
      <c r="T95" s="29"/>
      <c r="U95" s="29"/>
      <c r="V95" s="29"/>
      <c r="W95" s="29"/>
    </row>
    <row r="96" ht="15.75" customHeight="1">
      <c r="A96" s="29" t="str">
        <f>IFERROR(__xludf.DUMMYFUNCTION("""COMPUTED_VALUE"""),"Sc")</f>
        <v>Sc</v>
      </c>
      <c r="B96" s="29"/>
      <c r="C96" s="29" t="str">
        <f>IFERROR(__xludf.DUMMYFUNCTION("""COMPUTED_VALUE"""),"ペルノリカール")</f>
        <v>ペルノリカール</v>
      </c>
      <c r="D96" s="29"/>
      <c r="E96" s="29" t="str">
        <f>IFERROR(__xludf.DUMMYFUNCTION("""COMPUTED_VALUE"""),"ブレンデッド")</f>
        <v>ブレンデッド</v>
      </c>
      <c r="F96" s="29"/>
      <c r="G96" s="29" t="str">
        <f>IFERROR(__xludf.DUMMYFUNCTION("""COMPUTED_VALUE"""),"シーバスリーガル 12年 みずなら")</f>
        <v>シーバスリーガル 12年 みずなら</v>
      </c>
      <c r="H96" s="29"/>
      <c r="I96" s="29"/>
      <c r="J96" s="29"/>
      <c r="K96" s="29"/>
      <c r="L96" s="29" t="str">
        <f>IFERROR(__xludf.DUMMYFUNCTION("""COMPUTED_VALUE"""),"✓")</f>
        <v>✓</v>
      </c>
      <c r="M96" s="29"/>
      <c r="N96" s="30"/>
      <c r="O96" s="29"/>
      <c r="P96" s="31">
        <f>IFERROR(__xludf.DUMMYFUNCTION("""COMPUTED_VALUE"""),1000.0)</f>
        <v>1000</v>
      </c>
      <c r="Q96" s="31">
        <f>IFERROR(__xludf.DUMMYFUNCTION("""COMPUTED_VALUE"""),600.0)</f>
        <v>600</v>
      </c>
      <c r="R96" s="31"/>
      <c r="S96" s="32"/>
      <c r="T96" s="29"/>
      <c r="U96" s="29"/>
      <c r="V96" s="29"/>
      <c r="W96" s="29"/>
    </row>
    <row r="97" ht="15.75" customHeight="1">
      <c r="A97" s="29" t="str">
        <f>IFERROR(__xludf.DUMMYFUNCTION("""COMPUTED_VALUE"""),"US")</f>
        <v>US</v>
      </c>
      <c r="B97" s="29"/>
      <c r="C97" s="29" t="str">
        <f>IFERROR(__xludf.DUMMYFUNCTION("""COMPUTED_VALUE"""),"キリン")</f>
        <v>キリン</v>
      </c>
      <c r="D97" s="29"/>
      <c r="E97" s="29" t="str">
        <f>IFERROR(__xludf.DUMMYFUNCTION("""COMPUTED_VALUE"""),"バーボン")</f>
        <v>バーボン</v>
      </c>
      <c r="F97" s="29"/>
      <c r="G97" s="29" t="str">
        <f>IFERROR(__xludf.DUMMYFUNCTION("""COMPUTED_VALUE"""),"フォアローゼス ブラック")</f>
        <v>フォアローゼス ブラック</v>
      </c>
      <c r="H97" s="29"/>
      <c r="I97" s="29"/>
      <c r="J97" s="29"/>
      <c r="K97" s="29"/>
      <c r="L97" s="29" t="str">
        <f>IFERROR(__xludf.DUMMYFUNCTION("""COMPUTED_VALUE"""),"✓")</f>
        <v>✓</v>
      </c>
      <c r="M97" s="29"/>
      <c r="N97" s="30"/>
      <c r="O97" s="29"/>
      <c r="P97" s="31">
        <f>IFERROR(__xludf.DUMMYFUNCTION("""COMPUTED_VALUE"""),1000.0)</f>
        <v>1000</v>
      </c>
      <c r="Q97" s="31">
        <f>IFERROR(__xludf.DUMMYFUNCTION("""COMPUTED_VALUE"""),600.0)</f>
        <v>600</v>
      </c>
      <c r="R97" s="31"/>
      <c r="S97" s="32"/>
      <c r="T97" s="29"/>
      <c r="U97" s="29"/>
      <c r="V97" s="29"/>
      <c r="W97" s="29"/>
    </row>
    <row r="98" ht="15.75" customHeight="1">
      <c r="A98" s="29" t="str">
        <f>IFERROR(__xludf.DUMMYFUNCTION("""COMPUTED_VALUE"""),"US")</f>
        <v>US</v>
      </c>
      <c r="B98" s="29"/>
      <c r="C98" s="29" t="str">
        <f>IFERROR(__xludf.DUMMYFUNCTION("""COMPUTED_VALUE"""),"キリン")</f>
        <v>キリン</v>
      </c>
      <c r="D98" s="29"/>
      <c r="E98" s="29" t="str">
        <f>IFERROR(__xludf.DUMMYFUNCTION("""COMPUTED_VALUE"""),"バーボン")</f>
        <v>バーボン</v>
      </c>
      <c r="F98" s="29"/>
      <c r="G98" s="29" t="str">
        <f>IFERROR(__xludf.DUMMYFUNCTION("""COMPUTED_VALUE"""),"フォアローゼス プラチナ")</f>
        <v>フォアローゼス プラチナ</v>
      </c>
      <c r="H98" s="29"/>
      <c r="I98" s="29"/>
      <c r="J98" s="29"/>
      <c r="K98" s="29"/>
      <c r="L98" s="29" t="str">
        <f>IFERROR(__xludf.DUMMYFUNCTION("""COMPUTED_VALUE"""),"✓")</f>
        <v>✓</v>
      </c>
      <c r="M98" s="29"/>
      <c r="N98" s="30"/>
      <c r="O98" s="29"/>
      <c r="P98" s="31">
        <f>IFERROR(__xludf.DUMMYFUNCTION("""COMPUTED_VALUE"""),1600.0)</f>
        <v>1600</v>
      </c>
      <c r="Q98" s="31">
        <f>IFERROR(__xludf.DUMMYFUNCTION("""COMPUTED_VALUE"""),900.0)</f>
        <v>900</v>
      </c>
      <c r="R98" s="31"/>
      <c r="S98" s="32"/>
      <c r="T98" s="29"/>
      <c r="U98" s="29"/>
      <c r="V98" s="29"/>
      <c r="W98" s="29"/>
    </row>
    <row r="99" ht="15.75" customHeight="1">
      <c r="A99" s="29" t="str">
        <f>IFERROR(__xludf.DUMMYFUNCTION("""COMPUTED_VALUE"""),"US")</f>
        <v>US</v>
      </c>
      <c r="B99" s="29"/>
      <c r="C99" s="29" t="str">
        <f>IFERROR(__xludf.DUMMYFUNCTION("""COMPUTED_VALUE"""),"サントリー")</f>
        <v>サントリー</v>
      </c>
      <c r="D99" s="29"/>
      <c r="E99" s="29" t="str">
        <f>IFERROR(__xludf.DUMMYFUNCTION("""COMPUTED_VALUE"""),"バーボン")</f>
        <v>バーボン</v>
      </c>
      <c r="F99" s="29"/>
      <c r="G99" s="29" t="str">
        <f>IFERROR(__xludf.DUMMYFUNCTION("""COMPUTED_VALUE"""),"メーカーズマーク")</f>
        <v>メーカーズマーク</v>
      </c>
      <c r="H99" s="29"/>
      <c r="I99" s="29"/>
      <c r="J99" s="29"/>
      <c r="K99" s="29"/>
      <c r="L99" s="29" t="str">
        <f>IFERROR(__xludf.DUMMYFUNCTION("""COMPUTED_VALUE"""),"✓")</f>
        <v>✓</v>
      </c>
      <c r="M99" s="29"/>
      <c r="N99" s="30"/>
      <c r="O99" s="29"/>
      <c r="P99" s="31">
        <f>IFERROR(__xludf.DUMMYFUNCTION("""COMPUTED_VALUE"""),900.0)</f>
        <v>900</v>
      </c>
      <c r="Q99" s="31">
        <f>IFERROR(__xludf.DUMMYFUNCTION("""COMPUTED_VALUE"""),550.0)</f>
        <v>550</v>
      </c>
      <c r="R99" s="31"/>
      <c r="S99" s="32"/>
      <c r="T99" s="29"/>
      <c r="U99" s="29"/>
      <c r="V99" s="29"/>
      <c r="W99" s="29"/>
    </row>
    <row r="100" ht="15.75" customHeight="1">
      <c r="A100" s="29" t="str">
        <f>IFERROR(__xludf.DUMMYFUNCTION("""COMPUTED_VALUE"""),"US")</f>
        <v>US</v>
      </c>
      <c r="B100" s="29" t="str">
        <f>IFERROR(__xludf.DUMMYFUNCTION("""COMPUTED_VALUE"""),"マコーミック")</f>
        <v>マコーミック</v>
      </c>
      <c r="C100" s="29"/>
      <c r="D100" s="29"/>
      <c r="E100" s="29" t="str">
        <f>IFERROR(__xludf.DUMMYFUNCTION("""COMPUTED_VALUE"""),"コーン")</f>
        <v>コーン</v>
      </c>
      <c r="F100" s="29"/>
      <c r="G100" s="29" t="str">
        <f>IFERROR(__xludf.DUMMYFUNCTION("""COMPUTED_VALUE"""),"プラットヴァレー")</f>
        <v>プラットヴァレー</v>
      </c>
      <c r="H100" s="29"/>
      <c r="I100" s="29"/>
      <c r="J100" s="29"/>
      <c r="K100" s="29"/>
      <c r="L100" s="29" t="str">
        <f>IFERROR(__xludf.DUMMYFUNCTION("""COMPUTED_VALUE"""),"✓")</f>
        <v>✓</v>
      </c>
      <c r="M100" s="29"/>
      <c r="N100" s="30"/>
      <c r="O100" s="29"/>
      <c r="P100" s="31">
        <f>IFERROR(__xludf.DUMMYFUNCTION("""COMPUTED_VALUE"""),900.0)</f>
        <v>900</v>
      </c>
      <c r="Q100" s="31">
        <f>IFERROR(__xludf.DUMMYFUNCTION("""COMPUTED_VALUE"""),550.0)</f>
        <v>550</v>
      </c>
      <c r="R100" s="31"/>
      <c r="S100" s="32"/>
      <c r="T100" s="29"/>
      <c r="U100" s="29"/>
      <c r="V100" s="29"/>
      <c r="W100" s="29"/>
    </row>
    <row r="101" ht="15.75" customHeight="1">
      <c r="A101" s="29" t="str">
        <f>IFERROR(__xludf.DUMMYFUNCTION("""COMPUTED_VALUE"""),"US")</f>
        <v>US</v>
      </c>
      <c r="B101" s="29" t="str">
        <f>IFERROR(__xludf.DUMMYFUNCTION("""COMPUTED_VALUE"""),"ジャックダニエル")</f>
        <v>ジャックダニエル</v>
      </c>
      <c r="C101" s="29"/>
      <c r="D101" s="29"/>
      <c r="E101" s="29" t="str">
        <f>IFERROR(__xludf.DUMMYFUNCTION("""COMPUTED_VALUE"""),"テネシー")</f>
        <v>テネシー</v>
      </c>
      <c r="F101" s="29"/>
      <c r="G101" s="29" t="str">
        <f>IFERROR(__xludf.DUMMYFUNCTION("""COMPUTED_VALUE"""),"ジャックダニエル")</f>
        <v>ジャックダニエル</v>
      </c>
      <c r="H101" s="29"/>
      <c r="I101" s="29"/>
      <c r="J101" s="29"/>
      <c r="K101" s="29"/>
      <c r="L101" s="29" t="str">
        <f>IFERROR(__xludf.DUMMYFUNCTION("""COMPUTED_VALUE"""),"✓")</f>
        <v>✓</v>
      </c>
      <c r="M101" s="29"/>
      <c r="N101" s="30"/>
      <c r="O101" s="29"/>
      <c r="P101" s="31">
        <f>IFERROR(__xludf.DUMMYFUNCTION("""COMPUTED_VALUE"""),900.0)</f>
        <v>900</v>
      </c>
      <c r="Q101" s="31">
        <f>IFERROR(__xludf.DUMMYFUNCTION("""COMPUTED_VALUE"""),550.0)</f>
        <v>550</v>
      </c>
      <c r="R101" s="31"/>
      <c r="S101" s="32"/>
      <c r="T101" s="29"/>
      <c r="U101" s="29"/>
      <c r="V101" s="29"/>
      <c r="W101" s="29"/>
    </row>
    <row r="102" ht="15.75" customHeight="1">
      <c r="A102" s="29" t="str">
        <f>IFERROR(__xludf.DUMMYFUNCTION("""COMPUTED_VALUE"""),"US")</f>
        <v>US</v>
      </c>
      <c r="B102" s="29" t="str">
        <f>IFERROR(__xludf.DUMMYFUNCTION("""COMPUTED_VALUE"""),"IWハーパー")</f>
        <v>IWハーパー</v>
      </c>
      <c r="C102" s="29"/>
      <c r="D102" s="29"/>
      <c r="E102" s="29" t="str">
        <f>IFERROR(__xludf.DUMMYFUNCTION("""COMPUTED_VALUE"""),"バーボン")</f>
        <v>バーボン</v>
      </c>
      <c r="F102" s="29"/>
      <c r="G102" s="29" t="str">
        <f>IFERROR(__xludf.DUMMYFUNCTION("""COMPUTED_VALUE"""),"I.W.ハーパー 12年")</f>
        <v>I.W.ハーパー 12年</v>
      </c>
      <c r="H102" s="29"/>
      <c r="I102" s="29"/>
      <c r="J102" s="29"/>
      <c r="K102" s="29"/>
      <c r="L102" s="29" t="str">
        <f>IFERROR(__xludf.DUMMYFUNCTION("""COMPUTED_VALUE"""),"✓")</f>
        <v>✓</v>
      </c>
      <c r="M102" s="29"/>
      <c r="N102" s="30"/>
      <c r="O102" s="29"/>
      <c r="P102" s="31">
        <f>IFERROR(__xludf.DUMMYFUNCTION("""COMPUTED_VALUE"""),1900.0)</f>
        <v>1900</v>
      </c>
      <c r="Q102" s="31">
        <f>IFERROR(__xludf.DUMMYFUNCTION("""COMPUTED_VALUE"""),1050.0)</f>
        <v>1050</v>
      </c>
      <c r="R102" s="31"/>
      <c r="S102" s="32"/>
      <c r="T102" s="29"/>
      <c r="U102" s="29"/>
      <c r="V102" s="29"/>
      <c r="W102" s="29"/>
    </row>
    <row r="103" ht="15.75" customHeight="1">
      <c r="A103" s="29" t="str">
        <f>IFERROR(__xludf.DUMMYFUNCTION("""COMPUTED_VALUE"""),"US")</f>
        <v>US</v>
      </c>
      <c r="B103" s="29" t="str">
        <f>IFERROR(__xludf.DUMMYFUNCTION("""COMPUTED_VALUE"""),"オースティンニコルス")</f>
        <v>オースティンニコルス</v>
      </c>
      <c r="C103" s="29"/>
      <c r="D103" s="29"/>
      <c r="E103" s="29" t="str">
        <f>IFERROR(__xludf.DUMMYFUNCTION("""COMPUTED_VALUE"""),"バーボン")</f>
        <v>バーボン</v>
      </c>
      <c r="F103" s="29"/>
      <c r="G103" s="29" t="str">
        <f>IFERROR(__xludf.DUMMYFUNCTION("""COMPUTED_VALUE"""),"ワイルドターキー 8年")</f>
        <v>ワイルドターキー 8年</v>
      </c>
      <c r="H103" s="29"/>
      <c r="I103" s="29"/>
      <c r="J103" s="29"/>
      <c r="K103" s="29"/>
      <c r="L103" s="29" t="str">
        <f>IFERROR(__xludf.DUMMYFUNCTION("""COMPUTED_VALUE"""),"✓")</f>
        <v>✓</v>
      </c>
      <c r="M103" s="29"/>
      <c r="N103" s="30"/>
      <c r="O103" s="29"/>
      <c r="P103" s="31">
        <f>IFERROR(__xludf.DUMMYFUNCTION("""COMPUTED_VALUE"""),900.0)</f>
        <v>900</v>
      </c>
      <c r="Q103" s="31">
        <f>IFERROR(__xludf.DUMMYFUNCTION("""COMPUTED_VALUE"""),550.0)</f>
        <v>550</v>
      </c>
      <c r="R103" s="31"/>
      <c r="S103" s="32"/>
      <c r="T103" s="29"/>
      <c r="U103" s="29"/>
      <c r="V103" s="29"/>
      <c r="W103" s="29"/>
    </row>
    <row r="104" ht="15.75" customHeight="1">
      <c r="A104" s="29" t="str">
        <f>IFERROR(__xludf.DUMMYFUNCTION("""COMPUTED_VALUE"""),"US")</f>
        <v>US</v>
      </c>
      <c r="B104" s="29" t="str">
        <f>IFERROR(__xludf.DUMMYFUNCTION("""COMPUTED_VALUE"""),"ジムビーム")</f>
        <v>ジムビーム</v>
      </c>
      <c r="C104" s="29"/>
      <c r="D104" s="29"/>
      <c r="E104" s="29" t="str">
        <f>IFERROR(__xludf.DUMMYFUNCTION("""COMPUTED_VALUE"""),"ライ")</f>
        <v>ライ</v>
      </c>
      <c r="F104" s="29"/>
      <c r="G104" s="29" t="str">
        <f>IFERROR(__xludf.DUMMYFUNCTION("""COMPUTED_VALUE"""),"オールドオーバーホルト")</f>
        <v>オールドオーバーホルト</v>
      </c>
      <c r="H104" s="29"/>
      <c r="I104" s="29"/>
      <c r="J104" s="29"/>
      <c r="K104" s="29"/>
      <c r="L104" s="29" t="str">
        <f>IFERROR(__xludf.DUMMYFUNCTION("""COMPUTED_VALUE"""),"✓")</f>
        <v>✓</v>
      </c>
      <c r="M104" s="29"/>
      <c r="N104" s="30"/>
      <c r="O104" s="29"/>
      <c r="P104" s="31">
        <f>IFERROR(__xludf.DUMMYFUNCTION("""COMPUTED_VALUE"""),900.0)</f>
        <v>900</v>
      </c>
      <c r="Q104" s="31">
        <f>IFERROR(__xludf.DUMMYFUNCTION("""COMPUTED_VALUE"""),550.0)</f>
        <v>550</v>
      </c>
      <c r="R104" s="31"/>
      <c r="S104" s="32"/>
      <c r="T104" s="29"/>
      <c r="U104" s="29"/>
      <c r="V104" s="29"/>
      <c r="W104" s="29"/>
    </row>
    <row r="105" ht="15.75" customHeight="1">
      <c r="A105" s="29" t="str">
        <f>IFERROR(__xludf.DUMMYFUNCTION("""COMPUTED_VALUE"""),"CA")</f>
        <v>CA</v>
      </c>
      <c r="B105" s="29"/>
      <c r="C105" s="29" t="str">
        <f>IFERROR(__xludf.DUMMYFUNCTION("""COMPUTED_VALUE"""),"サントリー")</f>
        <v>サントリー</v>
      </c>
      <c r="D105" s="29"/>
      <c r="E105" s="29" t="str">
        <f>IFERROR(__xludf.DUMMYFUNCTION("""COMPUTED_VALUE"""),"ブレンデッド")</f>
        <v>ブレンデッド</v>
      </c>
      <c r="F105" s="29"/>
      <c r="G105" s="29" t="str">
        <f>IFERROR(__xludf.DUMMYFUNCTION("""COMPUTED_VALUE"""),"カナディアンクラブ")</f>
        <v>カナディアンクラブ</v>
      </c>
      <c r="H105" s="29"/>
      <c r="I105" s="29"/>
      <c r="J105" s="29"/>
      <c r="K105" s="29"/>
      <c r="L105" s="29" t="str">
        <f>IFERROR(__xludf.DUMMYFUNCTION("""COMPUTED_VALUE"""),"✓")</f>
        <v>✓</v>
      </c>
      <c r="M105" s="29"/>
      <c r="N105" s="30"/>
      <c r="O105" s="29"/>
      <c r="P105" s="31">
        <f>IFERROR(__xludf.DUMMYFUNCTION("""COMPUTED_VALUE"""),900.0)</f>
        <v>900</v>
      </c>
      <c r="Q105" s="31">
        <f>IFERROR(__xludf.DUMMYFUNCTION("""COMPUTED_VALUE"""),550.0)</f>
        <v>550</v>
      </c>
      <c r="R105" s="31"/>
      <c r="S105" s="32"/>
      <c r="T105" s="29"/>
      <c r="U105" s="29"/>
      <c r="V105" s="29"/>
      <c r="W105" s="29"/>
    </row>
    <row r="106" ht="15.75" customHeight="1">
      <c r="A106" s="29" t="str">
        <f>IFERROR(__xludf.DUMMYFUNCTION("""COMPUTED_VALUE"""),"CA")</f>
        <v>CA</v>
      </c>
      <c r="B106" s="29"/>
      <c r="C106" s="29" t="str">
        <f>IFERROR(__xludf.DUMMYFUNCTION("""COMPUTED_VALUE"""),"サントリー")</f>
        <v>サントリー</v>
      </c>
      <c r="D106" s="29"/>
      <c r="E106" s="29" t="str">
        <f>IFERROR(__xludf.DUMMYFUNCTION("""COMPUTED_VALUE"""),"ブレンデッド")</f>
        <v>ブレンデッド</v>
      </c>
      <c r="F106" s="29"/>
      <c r="G106" s="29" t="str">
        <f>IFERROR(__xludf.DUMMYFUNCTION("""COMPUTED_VALUE"""),"カナディアンクラブ 12年")</f>
        <v>カナディアンクラブ 12年</v>
      </c>
      <c r="H106" s="29"/>
      <c r="I106" s="29"/>
      <c r="J106" s="29"/>
      <c r="K106" s="29"/>
      <c r="L106" s="29" t="str">
        <f>IFERROR(__xludf.DUMMYFUNCTION("""COMPUTED_VALUE"""),"✓")</f>
        <v>✓</v>
      </c>
      <c r="M106" s="29"/>
      <c r="N106" s="30"/>
      <c r="O106" s="29"/>
      <c r="P106" s="31">
        <f>IFERROR(__xludf.DUMMYFUNCTION("""COMPUTED_VALUE"""),1000.0)</f>
        <v>1000</v>
      </c>
      <c r="Q106" s="31">
        <f>IFERROR(__xludf.DUMMYFUNCTION("""COMPUTED_VALUE"""),600.0)</f>
        <v>600</v>
      </c>
      <c r="R106" s="31"/>
      <c r="S106" s="32"/>
      <c r="T106" s="29"/>
      <c r="U106" s="29"/>
      <c r="V106" s="29"/>
      <c r="W106" s="29"/>
    </row>
    <row r="107" ht="15.75" customHeight="1">
      <c r="A107" s="29" t="str">
        <f>IFERROR(__xludf.DUMMYFUNCTION("""COMPUTED_VALUE"""),"IE")</f>
        <v>IE</v>
      </c>
      <c r="B107" s="29"/>
      <c r="C107" s="29" t="str">
        <f>IFERROR(__xludf.DUMMYFUNCTION("""COMPUTED_VALUE"""),"ペルノリカール")</f>
        <v>ペルノリカール</v>
      </c>
      <c r="D107" s="29"/>
      <c r="E107" s="29" t="str">
        <f>IFERROR(__xludf.DUMMYFUNCTION("""COMPUTED_VALUE"""),"ブレンデッド")</f>
        <v>ブレンデッド</v>
      </c>
      <c r="F107" s="29"/>
      <c r="G107" s="29" t="str">
        <f>IFERROR(__xludf.DUMMYFUNCTION("""COMPUTED_VALUE"""),"ジェムソン")</f>
        <v>ジェムソン</v>
      </c>
      <c r="H107" s="29"/>
      <c r="I107" s="29"/>
      <c r="J107" s="29"/>
      <c r="K107" s="29"/>
      <c r="L107" s="29" t="str">
        <f>IFERROR(__xludf.DUMMYFUNCTION("""COMPUTED_VALUE"""),"✓")</f>
        <v>✓</v>
      </c>
      <c r="M107" s="29"/>
      <c r="N107" s="30"/>
      <c r="O107" s="29"/>
      <c r="P107" s="31">
        <f>IFERROR(__xludf.DUMMYFUNCTION("""COMPUTED_VALUE"""),900.0)</f>
        <v>900</v>
      </c>
      <c r="Q107" s="31">
        <f>IFERROR(__xludf.DUMMYFUNCTION("""COMPUTED_VALUE"""),550.0)</f>
        <v>550</v>
      </c>
      <c r="R107" s="31"/>
      <c r="S107" s="32"/>
      <c r="T107" s="29"/>
      <c r="U107" s="29"/>
      <c r="V107" s="29"/>
      <c r="W107" s="29"/>
    </row>
    <row r="108" ht="15.75" customHeight="1">
      <c r="A108" s="29" t="str">
        <f>IFERROR(__xludf.DUMMYFUNCTION("""COMPUTED_VALUE"""),"IE")</f>
        <v>IE</v>
      </c>
      <c r="B108" s="29"/>
      <c r="C108" s="29" t="str">
        <f>IFERROR(__xludf.DUMMYFUNCTION("""COMPUTED_VALUE"""),"アサヒビール")</f>
        <v>アサヒビール</v>
      </c>
      <c r="D108" s="29"/>
      <c r="E108" s="29" t="str">
        <f>IFERROR(__xludf.DUMMYFUNCTION("""COMPUTED_VALUE"""),"ブレンデッド")</f>
        <v>ブレンデッド</v>
      </c>
      <c r="F108" s="29"/>
      <c r="G108" s="29" t="str">
        <f>IFERROR(__xludf.DUMMYFUNCTION("""COMPUTED_VALUE"""),"ブッシュミルズ")</f>
        <v>ブッシュミルズ</v>
      </c>
      <c r="H108" s="29"/>
      <c r="I108" s="29"/>
      <c r="J108" s="29"/>
      <c r="K108" s="29"/>
      <c r="L108" s="29" t="str">
        <f>IFERROR(__xludf.DUMMYFUNCTION("""COMPUTED_VALUE"""),"✓")</f>
        <v>✓</v>
      </c>
      <c r="M108" s="29"/>
      <c r="N108" s="30"/>
      <c r="O108" s="29"/>
      <c r="P108" s="31">
        <f>IFERROR(__xludf.DUMMYFUNCTION("""COMPUTED_VALUE"""),900.0)</f>
        <v>900</v>
      </c>
      <c r="Q108" s="31">
        <f>IFERROR(__xludf.DUMMYFUNCTION("""COMPUTED_VALUE"""),550.0)</f>
        <v>550</v>
      </c>
      <c r="R108" s="31"/>
      <c r="S108" s="32"/>
      <c r="T108" s="29"/>
      <c r="U108" s="29"/>
      <c r="V108" s="29"/>
      <c r="W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16.43"/>
    <col customWidth="1" min="4" max="4" width="7.86"/>
    <col customWidth="1" min="5" max="5" width="29.86"/>
    <col customWidth="1" min="6" max="6" width="7.86"/>
    <col customWidth="1" min="7" max="7" width="66.57"/>
    <col customWidth="1" min="8" max="8" width="31.0"/>
    <col customWidth="1" min="9" max="9" width="7.86"/>
    <col customWidth="1" min="10" max="10" width="23.0"/>
    <col customWidth="1" min="11" max="11" width="15.43"/>
    <col customWidth="1" hidden="1" min="12" max="12" width="5.71"/>
    <col customWidth="1" min="13" max="13" width="9.86"/>
    <col customWidth="1" min="14" max="15" width="5.71"/>
    <col customWidth="1" min="16" max="18" width="7.43"/>
    <col customWidth="1" min="19" max="19" width="12.0"/>
    <col customWidth="1" min="20" max="26" width="31.71"/>
  </cols>
  <sheetData>
    <row r="1">
      <c r="A1" s="33" t="s">
        <v>708</v>
      </c>
      <c r="T1" s="33"/>
      <c r="U1" s="33"/>
      <c r="V1" s="33"/>
      <c r="W1" s="33"/>
      <c r="X1" s="33"/>
      <c r="Y1" s="33"/>
      <c r="Z1" s="33"/>
    </row>
    <row r="2">
      <c r="A2" s="34" t="str">
        <f>IFERROR(__xludf.DUMMYFUNCTION("QUERY('全ウイスキー'!A:S, ""SELECT * WHERE E contains 'シングルカスク'"")"),"国")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  <c r="W2" s="34"/>
      <c r="X2" s="34"/>
      <c r="Y2" s="34"/>
      <c r="Z2" s="34"/>
    </row>
    <row r="3">
      <c r="A3" s="35" t="str">
        <f>IFERROR(__xludf.DUMMYFUNCTION("""COMPUTED_VALUE"""),"JP")</f>
        <v>JP</v>
      </c>
      <c r="B3" s="35" t="str">
        <f>IFERROR(__xludf.DUMMYFUNCTION("""COMPUTED_VALUE"""),"ニッカ")</f>
        <v>ニッカ</v>
      </c>
      <c r="C3" s="35" t="str">
        <f>IFERROR(__xludf.DUMMYFUNCTION("""COMPUTED_VALUE"""),"ニッカ")</f>
        <v>ニッカ</v>
      </c>
      <c r="D3" s="35" t="str">
        <f>IFERROR(__xludf.DUMMYFUNCTION("""COMPUTED_VALUE"""),"余市")</f>
        <v>余市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IFERROR(__xludf.DUMMYFUNCTION("""COMPUTED_VALUE"""),"#420919")</f>
        <v>#420919</v>
      </c>
      <c r="G3" s="35" t="str">
        <f>IFERROR(__xludf.DUMMYFUNCTION("""COMPUTED_VALUE"""),"余市 10年")</f>
        <v>余市 10年</v>
      </c>
      <c r="H3" s="35" t="str">
        <f>IFERROR(__xludf.DUMMYFUNCTION("""COMPUTED_VALUE"""),"マイウイスキー")</f>
        <v>マイウイスキー</v>
      </c>
      <c r="I3" s="35"/>
      <c r="J3" s="34" t="str">
        <f>IFERROR(__xludf.DUMMYFUNCTION("""COMPUTED_VALUE"""),"ホワイトオーク新樽")</f>
        <v>ホワイトオーク新樽</v>
      </c>
      <c r="K3" s="34"/>
      <c r="L3" s="35"/>
      <c r="M3" s="35"/>
      <c r="N3" s="36">
        <f>IFERROR(__xludf.DUMMYFUNCTION("""COMPUTED_VALUE"""),0.55)</f>
        <v>0.55</v>
      </c>
      <c r="O3" s="35"/>
      <c r="P3" s="37"/>
      <c r="Q3" s="37"/>
      <c r="R3" s="37">
        <f>IFERROR(__xludf.DUMMYFUNCTION("""COMPUTED_VALUE"""),1400.0)</f>
        <v>1400</v>
      </c>
      <c r="S3" s="38">
        <f>IFERROR(__xludf.DUMMYFUNCTION("""COMPUTED_VALUE"""),45622.0)</f>
        <v>45622</v>
      </c>
      <c r="T3" s="35"/>
      <c r="U3" s="35"/>
      <c r="V3" s="35"/>
      <c r="W3" s="35"/>
      <c r="X3" s="35"/>
      <c r="Y3" s="35"/>
      <c r="Z3" s="35"/>
    </row>
    <row r="4">
      <c r="A4" s="35" t="str">
        <f>IFERROR(__xludf.DUMMYFUNCTION("""COMPUTED_VALUE"""),"JP")</f>
        <v>JP</v>
      </c>
      <c r="B4" s="35" t="str">
        <f>IFERROR(__xludf.DUMMYFUNCTION("""COMPUTED_VALUE"""),"ニッカ")</f>
        <v>ニッカ</v>
      </c>
      <c r="C4" s="35" t="str">
        <f>IFERROR(__xludf.DUMMYFUNCTION("""COMPUTED_VALUE"""),"ニッカ")</f>
        <v>ニッカ</v>
      </c>
      <c r="D4" s="35" t="str">
        <f>IFERROR(__xludf.DUMMYFUNCTION("""COMPUTED_VALUE"""),"余市")</f>
        <v>余市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IFERROR(__xludf.DUMMYFUNCTION("""COMPUTED_VALUE"""),"#420921")</f>
        <v>#420921</v>
      </c>
      <c r="G4" s="35" t="str">
        <f>IFERROR(__xludf.DUMMYFUNCTION("""COMPUTED_VALUE"""),"余市 10年")</f>
        <v>余市 10年</v>
      </c>
      <c r="H4" s="35" t="str">
        <f>IFERROR(__xludf.DUMMYFUNCTION("""COMPUTED_VALUE"""),"マイウイスキー")</f>
        <v>マイウイスキー</v>
      </c>
      <c r="I4" s="35"/>
      <c r="J4" s="34" t="str">
        <f>IFERROR(__xludf.DUMMYFUNCTION("""COMPUTED_VALUE"""),"ホワイトオーク新樽")</f>
        <v>ホワイトオーク新樽</v>
      </c>
      <c r="K4" s="34"/>
      <c r="L4" s="35"/>
      <c r="M4" s="35"/>
      <c r="N4" s="36">
        <f>IFERROR(__xludf.DUMMYFUNCTION("""COMPUTED_VALUE"""),0.55)</f>
        <v>0.55</v>
      </c>
      <c r="O4" s="35"/>
      <c r="P4" s="37"/>
      <c r="Q4" s="37"/>
      <c r="R4" s="37">
        <f>IFERROR(__xludf.DUMMYFUNCTION("""COMPUTED_VALUE"""),1400.0)</f>
        <v>1400</v>
      </c>
      <c r="S4" s="38">
        <f>IFERROR(__xludf.DUMMYFUNCTION("""COMPUTED_VALUE"""),45621.0)</f>
        <v>45621</v>
      </c>
      <c r="T4" s="35"/>
      <c r="U4" s="35"/>
      <c r="V4" s="35"/>
      <c r="W4" s="35"/>
      <c r="X4" s="35"/>
      <c r="Y4" s="35"/>
      <c r="Z4" s="35"/>
    </row>
    <row r="5">
      <c r="A5" s="35" t="str">
        <f>IFERROR(__xludf.DUMMYFUNCTION("""COMPUTED_VALUE"""),"JP")</f>
        <v>JP</v>
      </c>
      <c r="B5" s="35" t="str">
        <f>IFERROR(__xludf.DUMMYFUNCTION("""COMPUTED_VALUE"""),"ニッカ")</f>
        <v>ニッカ</v>
      </c>
      <c r="C5" s="35" t="str">
        <f>IFERROR(__xludf.DUMMYFUNCTION("""COMPUTED_VALUE"""),"ニッカ")</f>
        <v>ニッカ</v>
      </c>
      <c r="D5" s="35" t="str">
        <f>IFERROR(__xludf.DUMMYFUNCTION("""COMPUTED_VALUE"""),"余市")</f>
        <v>余市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IFERROR(__xludf.DUMMYFUNCTION("""COMPUTED_VALUE"""),"#420926")</f>
        <v>#420926</v>
      </c>
      <c r="G5" s="35" t="str">
        <f>IFERROR(__xludf.DUMMYFUNCTION("""COMPUTED_VALUE"""),"余市 10年")</f>
        <v>余市 10年</v>
      </c>
      <c r="H5" s="35" t="str">
        <f>IFERROR(__xludf.DUMMYFUNCTION("""COMPUTED_VALUE"""),"マイウイスキー")</f>
        <v>マイウイスキー</v>
      </c>
      <c r="I5" s="35"/>
      <c r="J5" s="34" t="str">
        <f>IFERROR(__xludf.DUMMYFUNCTION("""COMPUTED_VALUE"""),"ホワイトオーク新樽")</f>
        <v>ホワイトオーク新樽</v>
      </c>
      <c r="K5" s="34"/>
      <c r="L5" s="35"/>
      <c r="M5" s="35"/>
      <c r="N5" s="36">
        <f>IFERROR(__xludf.DUMMYFUNCTION("""COMPUTED_VALUE"""),0.56)</f>
        <v>0.56</v>
      </c>
      <c r="O5" s="35"/>
      <c r="P5" s="37"/>
      <c r="Q5" s="37"/>
      <c r="R5" s="37">
        <f>IFERROR(__xludf.DUMMYFUNCTION("""COMPUTED_VALUE"""),1400.0)</f>
        <v>1400</v>
      </c>
      <c r="S5" s="38">
        <f>IFERROR(__xludf.DUMMYFUNCTION("""COMPUTED_VALUE"""),45685.0)</f>
        <v>45685</v>
      </c>
      <c r="T5" s="35"/>
      <c r="U5" s="35"/>
      <c r="V5" s="35"/>
      <c r="W5" s="35"/>
      <c r="X5" s="35"/>
      <c r="Y5" s="35"/>
      <c r="Z5" s="35"/>
    </row>
    <row r="6">
      <c r="A6" s="35" t="str">
        <f>IFERROR(__xludf.DUMMYFUNCTION("""COMPUTED_VALUE"""),"JP")</f>
        <v>JP</v>
      </c>
      <c r="B6" s="35" t="str">
        <f>IFERROR(__xludf.DUMMYFUNCTION("""COMPUTED_VALUE"""),"ニッカ")</f>
        <v>ニッカ</v>
      </c>
      <c r="C6" s="35" t="str">
        <f>IFERROR(__xludf.DUMMYFUNCTION("""COMPUTED_VALUE"""),"ニッカ")</f>
        <v>ニッカ</v>
      </c>
      <c r="D6" s="35" t="str">
        <f>IFERROR(__xludf.DUMMYFUNCTION("""COMPUTED_VALUE"""),"余市")</f>
        <v>余市</v>
      </c>
      <c r="E6" s="35" t="str">
        <f>IFERROR(__xludf.DUMMYFUNCTION("""COMPUTED_VALUE"""),"シングルカスク")</f>
        <v>シングルカスク</v>
      </c>
      <c r="F6" s="35" t="str">
        <f>IFERROR(__xludf.DUMMYFUNCTION("""COMPUTED_VALUE"""),"#415211")</f>
        <v>#415211</v>
      </c>
      <c r="G6" s="35" t="str">
        <f>IFERROR(__xludf.DUMMYFUNCTION("""COMPUTED_VALUE"""),"余市 10年")</f>
        <v>余市 10年</v>
      </c>
      <c r="H6" s="35" t="str">
        <f>IFERROR(__xludf.DUMMYFUNCTION("""COMPUTED_VALUE"""),"マイウイスキー")</f>
        <v>マイウイスキー</v>
      </c>
      <c r="I6" s="35"/>
      <c r="J6" s="34" t="str">
        <f>IFERROR(__xludf.DUMMYFUNCTION("""COMPUTED_VALUE"""),"ホワイトオーク新樽")</f>
        <v>ホワイトオーク新樽</v>
      </c>
      <c r="K6" s="34"/>
      <c r="L6" s="35"/>
      <c r="M6" s="35"/>
      <c r="N6" s="36">
        <f>IFERROR(__xludf.DUMMYFUNCTION("""COMPUTED_VALUE"""),0.57)</f>
        <v>0.57</v>
      </c>
      <c r="O6" s="35"/>
      <c r="P6" s="37"/>
      <c r="Q6" s="37"/>
      <c r="R6" s="37">
        <f>IFERROR(__xludf.DUMMYFUNCTION("""COMPUTED_VALUE"""),1400.0)</f>
        <v>1400</v>
      </c>
      <c r="S6" s="38">
        <f>IFERROR(__xludf.DUMMYFUNCTION("""COMPUTED_VALUE"""),45685.0)</f>
        <v>45685</v>
      </c>
      <c r="T6" s="35"/>
      <c r="U6" s="35"/>
      <c r="V6" s="35"/>
      <c r="W6" s="35"/>
      <c r="X6" s="35"/>
      <c r="Y6" s="35"/>
      <c r="Z6" s="35"/>
    </row>
    <row r="7">
      <c r="A7" s="35" t="str">
        <f>IFERROR(__xludf.DUMMYFUNCTION("""COMPUTED_VALUE"""),"JP")</f>
        <v>JP</v>
      </c>
      <c r="B7" s="35" t="str">
        <f>IFERROR(__xludf.DUMMYFUNCTION("""COMPUTED_VALUE"""),"キリン")</f>
        <v>キリン</v>
      </c>
      <c r="C7" s="35" t="str">
        <f>IFERROR(__xludf.DUMMYFUNCTION("""COMPUTED_VALUE"""),"キリン")</f>
        <v>キリン</v>
      </c>
      <c r="D7" s="35" t="str">
        <f>IFERROR(__xludf.DUMMYFUNCTION("""COMPUTED_VALUE"""),"御殿場")</f>
        <v>御殿場</v>
      </c>
      <c r="E7" s="35" t="str">
        <f>IFERROR(__xludf.DUMMYFUNCTION("""COMPUTED_VALUE"""),"シングルカスク")</f>
        <v>シングルカスク</v>
      </c>
      <c r="F7" s="35" t="str">
        <f>IFERROR(__xludf.DUMMYFUNCTION("""COMPUTED_VALUE"""),"#M806")</f>
        <v>#M806</v>
      </c>
      <c r="G7" s="35" t="str">
        <f>IFERROR(__xludf.DUMMYFUNCTION("""COMPUTED_VALUE"""),"富士御殿場 10年")</f>
        <v>富士御殿場 10年</v>
      </c>
      <c r="H7" s="35"/>
      <c r="I7" s="35"/>
      <c r="J7" s="34" t="str">
        <f>IFERROR(__xludf.DUMMYFUNCTION("""COMPUTED_VALUE"""),"バーボン樽")</f>
        <v>バーボン樽</v>
      </c>
      <c r="K7" s="34" t="str">
        <f>IFERROR(__xludf.DUMMYFUNCTION("""COMPUTED_VALUE"""),"2002-2012")</f>
        <v>2002-2012</v>
      </c>
      <c r="L7" s="35"/>
      <c r="M7" s="35"/>
      <c r="N7" s="36">
        <f>IFERROR(__xludf.DUMMYFUNCTION("""COMPUTED_VALUE"""),0.45)</f>
        <v>0.45</v>
      </c>
      <c r="O7" s="35"/>
      <c r="P7" s="37">
        <f>IFERROR(__xludf.DUMMYFUNCTION("""COMPUTED_VALUE"""),1800.0)</f>
        <v>1800</v>
      </c>
      <c r="Q7" s="37">
        <f>IFERROR(__xludf.DUMMYFUNCTION("""COMPUTED_VALUE"""),1000.0)</f>
        <v>1000</v>
      </c>
      <c r="R7" s="37"/>
      <c r="S7" s="38">
        <f>IFERROR(__xludf.DUMMYFUNCTION("""COMPUTED_VALUE"""),45195.0)</f>
        <v>45195</v>
      </c>
      <c r="T7" s="35"/>
      <c r="U7" s="35"/>
      <c r="V7" s="35"/>
      <c r="W7" s="35"/>
      <c r="X7" s="35"/>
      <c r="Y7" s="35"/>
      <c r="Z7" s="35"/>
    </row>
    <row r="8">
      <c r="A8" s="35" t="str">
        <f>IFERROR(__xludf.DUMMYFUNCTION("""COMPUTED_VALUE"""),"JP")</f>
        <v>JP</v>
      </c>
      <c r="B8" s="35" t="str">
        <f>IFERROR(__xludf.DUMMYFUNCTION("""COMPUTED_VALUE"""),"キリン")</f>
        <v>キリン</v>
      </c>
      <c r="C8" s="35" t="str">
        <f>IFERROR(__xludf.DUMMYFUNCTION("""COMPUTED_VALUE"""),"キリン")</f>
        <v>キリン</v>
      </c>
      <c r="D8" s="35" t="str">
        <f>IFERROR(__xludf.DUMMYFUNCTION("""COMPUTED_VALUE"""),"御殿場")</f>
        <v>御殿場</v>
      </c>
      <c r="E8" s="35" t="str">
        <f>IFERROR(__xludf.DUMMYFUNCTION("""COMPUTED_VALUE"""),"シングルカスク")</f>
        <v>シングルカスク</v>
      </c>
      <c r="F8" s="35" t="str">
        <f>IFERROR(__xludf.DUMMYFUNCTION("""COMPUTED_VALUE"""),"#M820")</f>
        <v>#M820</v>
      </c>
      <c r="G8" s="35" t="str">
        <f>IFERROR(__xludf.DUMMYFUNCTION("""COMPUTED_VALUE"""),"富士御殿場 10年")</f>
        <v>富士御殿場 10年</v>
      </c>
      <c r="H8" s="35"/>
      <c r="I8" s="35"/>
      <c r="J8" s="34" t="str">
        <f>IFERROR(__xludf.DUMMYFUNCTION("""COMPUTED_VALUE"""),"バーボン樽")</f>
        <v>バーボン樽</v>
      </c>
      <c r="K8" s="34" t="str">
        <f>IFERROR(__xludf.DUMMYFUNCTION("""COMPUTED_VALUE"""),"2003-2013")</f>
        <v>2003-2013</v>
      </c>
      <c r="L8" s="35"/>
      <c r="M8" s="35"/>
      <c r="N8" s="36">
        <f>IFERROR(__xludf.DUMMYFUNCTION("""COMPUTED_VALUE"""),0.46)</f>
        <v>0.46</v>
      </c>
      <c r="O8" s="35"/>
      <c r="P8" s="37">
        <f>IFERROR(__xludf.DUMMYFUNCTION("""COMPUTED_VALUE"""),1800.0)</f>
        <v>1800</v>
      </c>
      <c r="Q8" s="37">
        <f>IFERROR(__xludf.DUMMYFUNCTION("""COMPUTED_VALUE"""),1000.0)</f>
        <v>1000</v>
      </c>
      <c r="R8" s="37"/>
      <c r="S8" s="38">
        <f>IFERROR(__xludf.DUMMYFUNCTION("""COMPUTED_VALUE"""),45198.0)</f>
        <v>45198</v>
      </c>
      <c r="T8" s="35"/>
      <c r="U8" s="35"/>
      <c r="V8" s="35"/>
      <c r="W8" s="35"/>
      <c r="X8" s="35"/>
      <c r="Y8" s="35"/>
      <c r="Z8" s="35"/>
    </row>
    <row r="9">
      <c r="A9" s="35" t="str">
        <f>IFERROR(__xludf.DUMMYFUNCTION("""COMPUTED_VALUE"""),"JP")</f>
        <v>JP</v>
      </c>
      <c r="B9" s="35" t="str">
        <f>IFERROR(__xludf.DUMMYFUNCTION("""COMPUTED_VALUE"""),"キリン")</f>
        <v>キリン</v>
      </c>
      <c r="C9" s="35" t="str">
        <f>IFERROR(__xludf.DUMMYFUNCTION("""COMPUTED_VALUE"""),"キリン")</f>
        <v>キリン</v>
      </c>
      <c r="D9" s="35" t="str">
        <f>IFERROR(__xludf.DUMMYFUNCTION("""COMPUTED_VALUE"""),"御殿場")</f>
        <v>御殿場</v>
      </c>
      <c r="E9" s="35" t="str">
        <f>IFERROR(__xludf.DUMMYFUNCTION("""COMPUTED_VALUE"""),"シングルカスク")</f>
        <v>シングルカスク</v>
      </c>
      <c r="F9" s="35" t="str">
        <f>IFERROR(__xludf.DUMMYFUNCTION("""COMPUTED_VALUE"""),"#A050304")</f>
        <v>#A050304</v>
      </c>
      <c r="G9" s="35" t="str">
        <f>IFERROR(__xludf.DUMMYFUNCTION("""COMPUTED_VALUE"""),"富士御殿場蒸溜所 ディスティラリーズセレクト モルト")</f>
        <v>富士御殿場蒸溜所 ディスティラリーズセレクト モルト</v>
      </c>
      <c r="H9" s="35" t="str">
        <f>IFERROR(__xludf.DUMMYFUNCTION("""COMPUTED_VALUE"""),"蒸溜所限定")</f>
        <v>蒸溜所限定</v>
      </c>
      <c r="I9" s="35"/>
      <c r="J9" s="34" t="str">
        <f>IFERROR(__xludf.DUMMYFUNCTION("""COMPUTED_VALUE"""),"バーボン樽")</f>
        <v>バーボン樽</v>
      </c>
      <c r="K9" s="34" t="str">
        <f>IFERROR(__xludf.DUMMYFUNCTION("""COMPUTED_VALUE"""),"?-2018")</f>
        <v>?-2018</v>
      </c>
      <c r="L9" s="35"/>
      <c r="M9" s="35"/>
      <c r="N9" s="36">
        <f>IFERROR(__xludf.DUMMYFUNCTION("""COMPUTED_VALUE"""),0.51)</f>
        <v>0.51</v>
      </c>
      <c r="O9" s="35"/>
      <c r="P9" s="37">
        <f>IFERROR(__xludf.DUMMYFUNCTION("""COMPUTED_VALUE"""),2000.0)</f>
        <v>2000</v>
      </c>
      <c r="Q9" s="37">
        <f>IFERROR(__xludf.DUMMYFUNCTION("""COMPUTED_VALUE"""),1100.0)</f>
        <v>1100</v>
      </c>
      <c r="R9" s="37"/>
      <c r="S9" s="38"/>
      <c r="T9" s="35"/>
      <c r="U9" s="35"/>
      <c r="V9" s="35"/>
      <c r="W9" s="35"/>
      <c r="X9" s="35"/>
      <c r="Y9" s="35"/>
      <c r="Z9" s="35"/>
    </row>
    <row r="10">
      <c r="A10" s="35" t="str">
        <f>IFERROR(__xludf.DUMMYFUNCTION("""COMPUTED_VALUE"""),"JP")</f>
        <v>JP</v>
      </c>
      <c r="B10" s="35" t="str">
        <f>IFERROR(__xludf.DUMMYFUNCTION("""COMPUTED_VALUE"""),"キリン")</f>
        <v>キリン</v>
      </c>
      <c r="C10" s="35" t="str">
        <f>IFERROR(__xludf.DUMMYFUNCTION("""COMPUTED_VALUE"""),"キリン")</f>
        <v>キリン</v>
      </c>
      <c r="D10" s="35" t="str">
        <f>IFERROR(__xludf.DUMMYFUNCTION("""COMPUTED_VALUE"""),"御殿場")</f>
        <v>御殿場</v>
      </c>
      <c r="E10" s="35" t="str">
        <f>IFERROR(__xludf.DUMMYFUNCTION("""COMPUTED_VALUE"""),"シングルカスクグレーン")</f>
        <v>シングルカスクグレーン</v>
      </c>
      <c r="F10" s="35" t="str">
        <f>IFERROR(__xludf.DUMMYFUNCTION("""COMPUTED_VALUE"""),"#C043103")</f>
        <v>#C043103</v>
      </c>
      <c r="G10" s="35" t="str">
        <f>IFERROR(__xludf.DUMMYFUNCTION("""COMPUTED_VALUE"""),"富士御殿場蒸溜所 ディスティラリーズセレクト グレーン")</f>
        <v>富士御殿場蒸溜所 ディスティラリーズセレクト グレーン</v>
      </c>
      <c r="H10" s="35" t="str">
        <f>IFERROR(__xludf.DUMMYFUNCTION("""COMPUTED_VALUE"""),"蒸溜所限定")</f>
        <v>蒸溜所限定</v>
      </c>
      <c r="I10" s="35"/>
      <c r="J10" s="34" t="str">
        <f>IFERROR(__xludf.DUMMYFUNCTION("""COMPUTED_VALUE"""),"バーボン樽")</f>
        <v>バーボン樽</v>
      </c>
      <c r="K10" s="34" t="str">
        <f>IFERROR(__xludf.DUMMYFUNCTION("""COMPUTED_VALUE"""),"?-2018")</f>
        <v>?-2018</v>
      </c>
      <c r="L10" s="35"/>
      <c r="M10" s="35"/>
      <c r="N10" s="36">
        <f>IFERROR(__xludf.DUMMYFUNCTION("""COMPUTED_VALUE"""),0.64)</f>
        <v>0.64</v>
      </c>
      <c r="O10" s="35"/>
      <c r="P10" s="37">
        <f>IFERROR(__xludf.DUMMYFUNCTION("""COMPUTED_VALUE"""),2000.0)</f>
        <v>2000</v>
      </c>
      <c r="Q10" s="37">
        <f>IFERROR(__xludf.DUMMYFUNCTION("""COMPUTED_VALUE"""),1100.0)</f>
        <v>1100</v>
      </c>
      <c r="R10" s="37"/>
      <c r="S10" s="38"/>
      <c r="T10" s="35"/>
      <c r="U10" s="35"/>
      <c r="V10" s="35"/>
      <c r="W10" s="35"/>
      <c r="X10" s="35"/>
      <c r="Y10" s="35"/>
      <c r="Z10" s="35"/>
    </row>
    <row r="11">
      <c r="A11" s="35" t="str">
        <f>IFERROR(__xludf.DUMMYFUNCTION("""COMPUTED_VALUE"""),"JP")</f>
        <v>JP</v>
      </c>
      <c r="B11" s="35" t="str">
        <f>IFERROR(__xludf.DUMMYFUNCTION("""COMPUTED_VALUE"""),"ベンチャー")</f>
        <v>ベンチャー</v>
      </c>
      <c r="C11" s="35" t="str">
        <f>IFERROR(__xludf.DUMMYFUNCTION("""COMPUTED_VALUE"""),"ベンチャー")</f>
        <v>ベンチャー</v>
      </c>
      <c r="D11" s="35" t="str">
        <f>IFERROR(__xludf.DUMMYFUNCTION("""COMPUTED_VALUE"""),"秩父")</f>
        <v>秩父</v>
      </c>
      <c r="E11" s="35" t="str">
        <f>IFERROR(__xludf.DUMMYFUNCTION("""COMPUTED_VALUE"""),"シングルカスク")</f>
        <v>シングルカスク</v>
      </c>
      <c r="F11" s="35" t="str">
        <f>IFERROR(__xludf.DUMMYFUNCTION("""COMPUTED_VALUE"""),"#644")</f>
        <v>#644</v>
      </c>
      <c r="G11" s="35" t="str">
        <f>IFERROR(__xludf.DUMMYFUNCTION("""COMPUTED_VALUE"""),"イチローズモルト 干支ラベル(申)")</f>
        <v>イチローズモルト 干支ラベル(申)</v>
      </c>
      <c r="H11" s="35" t="str">
        <f>IFERROR(__xludf.DUMMYFUNCTION("""COMPUTED_VALUE"""),"for 高島屋")</f>
        <v>for 高島屋</v>
      </c>
      <c r="I11" s="35"/>
      <c r="J11" s="34" t="str">
        <f>IFERROR(__xludf.DUMMYFUNCTION("""COMPUTED_VALUE"""),"バーボン樽")</f>
        <v>バーボン樽</v>
      </c>
      <c r="K11" s="34" t="str">
        <f>IFERROR(__xludf.DUMMYFUNCTION("""COMPUTED_VALUE"""),"2010-?")</f>
        <v>2010-?</v>
      </c>
      <c r="L11" s="35"/>
      <c r="M11" s="35"/>
      <c r="N11" s="36">
        <f>IFERROR(__xludf.DUMMYFUNCTION("""COMPUTED_VALUE"""),0.597)</f>
        <v>0.597</v>
      </c>
      <c r="O11" s="35"/>
      <c r="P11" s="37">
        <f>IFERROR(__xludf.DUMMYFUNCTION("""COMPUTED_VALUE"""),3500.0)</f>
        <v>3500</v>
      </c>
      <c r="Q11" s="37">
        <f>IFERROR(__xludf.DUMMYFUNCTION("""COMPUTED_VALUE"""),1900.0)</f>
        <v>1900</v>
      </c>
      <c r="R11" s="37"/>
      <c r="S11" s="38"/>
      <c r="T11" s="35"/>
      <c r="U11" s="35"/>
      <c r="V11" s="35"/>
      <c r="W11" s="35"/>
      <c r="X11" s="35"/>
      <c r="Y11" s="35"/>
      <c r="Z11" s="35"/>
    </row>
    <row r="12">
      <c r="A12" s="35" t="str">
        <f>IFERROR(__xludf.DUMMYFUNCTION("""COMPUTED_VALUE"""),"JP")</f>
        <v>JP</v>
      </c>
      <c r="B12" s="35" t="str">
        <f>IFERROR(__xludf.DUMMYFUNCTION("""COMPUTED_VALUE"""),"ベンチャー")</f>
        <v>ベンチャー</v>
      </c>
      <c r="C12" s="35" t="str">
        <f>IFERROR(__xludf.DUMMYFUNCTION("""COMPUTED_VALUE"""),"ベンチャー")</f>
        <v>ベンチャー</v>
      </c>
      <c r="D12" s="35" t="str">
        <f>IFERROR(__xludf.DUMMYFUNCTION("""COMPUTED_VALUE"""),"秩父")</f>
        <v>秩父</v>
      </c>
      <c r="E12" s="35" t="str">
        <f>IFERROR(__xludf.DUMMYFUNCTION("""COMPUTED_VALUE"""),"シングルカスク")</f>
        <v>シングルカスク</v>
      </c>
      <c r="F12" s="35" t="str">
        <f>IFERROR(__xludf.DUMMYFUNCTION("""COMPUTED_VALUE"""),"#2641")</f>
        <v>#2641</v>
      </c>
      <c r="G12" s="35" t="str">
        <f>IFERROR(__xludf.DUMMYFUNCTION("""COMPUTED_VALUE"""),"イチローズモルト 和柄ラベル 2010")</f>
        <v>イチローズモルト 和柄ラベル 2010</v>
      </c>
      <c r="H12" s="35" t="str">
        <f>IFERROR(__xludf.DUMMYFUNCTION("""COMPUTED_VALUE"""),"for 高島屋")</f>
        <v>for 高島屋</v>
      </c>
      <c r="I12" s="35"/>
      <c r="J12" s="34"/>
      <c r="K12" s="34" t="str">
        <f>IFERROR(__xludf.DUMMYFUNCTION("""COMPUTED_VALUE"""),"2010-?")</f>
        <v>2010-?</v>
      </c>
      <c r="L12" s="35"/>
      <c r="M12" s="35"/>
      <c r="N12" s="36">
        <f>IFERROR(__xludf.DUMMYFUNCTION("""COMPUTED_VALUE"""),0.59)</f>
        <v>0.59</v>
      </c>
      <c r="O12" s="35"/>
      <c r="P12" s="37">
        <f>IFERROR(__xludf.DUMMYFUNCTION("""COMPUTED_VALUE"""),3500.0)</f>
        <v>3500</v>
      </c>
      <c r="Q12" s="37">
        <f>IFERROR(__xludf.DUMMYFUNCTION("""COMPUTED_VALUE"""),1900.0)</f>
        <v>1900</v>
      </c>
      <c r="R12" s="37"/>
      <c r="S12" s="38">
        <f>IFERROR(__xludf.DUMMYFUNCTION("""COMPUTED_VALUE"""),44993.0)</f>
        <v>44993</v>
      </c>
      <c r="T12" s="35"/>
      <c r="U12" s="35"/>
      <c r="V12" s="35"/>
      <c r="W12" s="35"/>
      <c r="X12" s="35"/>
      <c r="Y12" s="35"/>
      <c r="Z12" s="35"/>
    </row>
    <row r="13">
      <c r="A13" s="35" t="str">
        <f>IFERROR(__xludf.DUMMYFUNCTION("""COMPUTED_VALUE"""),"JP")</f>
        <v>JP</v>
      </c>
      <c r="B13" s="35" t="str">
        <f>IFERROR(__xludf.DUMMYFUNCTION("""COMPUTED_VALUE"""),"ベンチャー")</f>
        <v>ベンチャー</v>
      </c>
      <c r="C13" s="35" t="str">
        <f>IFERROR(__xludf.DUMMYFUNCTION("""COMPUTED_VALUE"""),"ベンチャー")</f>
        <v>ベンチャー</v>
      </c>
      <c r="D13" s="35" t="str">
        <f>IFERROR(__xludf.DUMMYFUNCTION("""COMPUTED_VALUE"""),"秩父")</f>
        <v>秩父</v>
      </c>
      <c r="E13" s="35" t="str">
        <f>IFERROR(__xludf.DUMMYFUNCTION("""COMPUTED_VALUE"""),"シングルカスク")</f>
        <v>シングルカスク</v>
      </c>
      <c r="F13" s="35" t="str">
        <f>IFERROR(__xludf.DUMMYFUNCTION("""COMPUTED_VALUE"""),"#657")</f>
        <v>#657</v>
      </c>
      <c r="G13" s="35" t="str">
        <f>IFERROR(__xludf.DUMMYFUNCTION("""COMPUTED_VALUE"""),"イチローズモルト秩父 MDC 4年")</f>
        <v>イチローズモルト秩父 MDC 4年</v>
      </c>
      <c r="H13" s="35" t="str">
        <f>IFERROR(__xludf.DUMMYFUNCTION("""COMPUTED_VALUE"""),"for BAR BARNS")</f>
        <v>for BAR BARNS</v>
      </c>
      <c r="I13" s="35"/>
      <c r="J13" s="34" t="str">
        <f>IFERROR(__xludf.DUMMYFUNCTION("""COMPUTED_VALUE"""),"バーボン樽")</f>
        <v>バーボン樽</v>
      </c>
      <c r="K13" s="34" t="str">
        <f>IFERROR(__xludf.DUMMYFUNCTION("""COMPUTED_VALUE"""),"2010.1-2014.3")</f>
        <v>2010.1-2014.3</v>
      </c>
      <c r="L13" s="35"/>
      <c r="M13" s="35"/>
      <c r="N13" s="36">
        <f>IFERROR(__xludf.DUMMYFUNCTION("""COMPUTED_VALUE"""),0.621)</f>
        <v>0.621</v>
      </c>
      <c r="O13" s="35">
        <f>IFERROR(__xludf.DUMMYFUNCTION("""COMPUTED_VALUE"""),227.0)</f>
        <v>227</v>
      </c>
      <c r="P13" s="37">
        <f>IFERROR(__xludf.DUMMYFUNCTION("""COMPUTED_VALUE"""),3000.0)</f>
        <v>3000</v>
      </c>
      <c r="Q13" s="37">
        <f>IFERROR(__xludf.DUMMYFUNCTION("""COMPUTED_VALUE"""),1600.0)</f>
        <v>1600</v>
      </c>
      <c r="R13" s="37"/>
      <c r="S13" s="38">
        <f>IFERROR(__xludf.DUMMYFUNCTION("""COMPUTED_VALUE"""),44980.0)</f>
        <v>44980</v>
      </c>
      <c r="T13" s="35"/>
      <c r="U13" s="35"/>
      <c r="V13" s="35"/>
      <c r="W13" s="35"/>
      <c r="X13" s="35"/>
      <c r="Y13" s="35"/>
      <c r="Z13" s="35"/>
    </row>
    <row r="14">
      <c r="A14" s="35" t="str">
        <f>IFERROR(__xludf.DUMMYFUNCTION("""COMPUTED_VALUE"""),"JP")</f>
        <v>JP</v>
      </c>
      <c r="B14" s="35" t="str">
        <f>IFERROR(__xludf.DUMMYFUNCTION("""COMPUTED_VALUE"""),"ベンチャー")</f>
        <v>ベンチャー</v>
      </c>
      <c r="C14" s="35" t="str">
        <f>IFERROR(__xludf.DUMMYFUNCTION("""COMPUTED_VALUE"""),"ベンチャー")</f>
        <v>ベンチャー</v>
      </c>
      <c r="D14" s="35" t="str">
        <f>IFERROR(__xludf.DUMMYFUNCTION("""COMPUTED_VALUE"""),"秩父")</f>
        <v>秩父</v>
      </c>
      <c r="E14" s="35" t="str">
        <f>IFERROR(__xludf.DUMMYFUNCTION("""COMPUTED_VALUE"""),"シングルカスク")</f>
        <v>シングルカスク</v>
      </c>
      <c r="F14" s="35" t="str">
        <f>IFERROR(__xludf.DUMMYFUNCTION("""COMPUTED_VALUE"""),"#659")</f>
        <v>#659</v>
      </c>
      <c r="G14" s="35" t="str">
        <f>IFERROR(__xludf.DUMMYFUNCTION("""COMPUTED_VALUE"""),"イチローズモルト秩父 MDC 4年")</f>
        <v>イチローズモルト秩父 MDC 4年</v>
      </c>
      <c r="H14" s="35" t="str">
        <f>IFERROR(__xludf.DUMMYFUNCTION("""COMPUTED_VALUE"""),"for シルバーシール")</f>
        <v>for シルバーシール</v>
      </c>
      <c r="I14" s="35"/>
      <c r="J14" s="34" t="str">
        <f>IFERROR(__xludf.DUMMYFUNCTION("""COMPUTED_VALUE"""),"バーボン樽")</f>
        <v>バーボン樽</v>
      </c>
      <c r="K14" s="34" t="str">
        <f>IFERROR(__xludf.DUMMYFUNCTION("""COMPUTED_VALUE"""),"2010.1-2014.2")</f>
        <v>2010.1-2014.2</v>
      </c>
      <c r="L14" s="35"/>
      <c r="M14" s="35"/>
      <c r="N14" s="36">
        <f>IFERROR(__xludf.DUMMYFUNCTION("""COMPUTED_VALUE"""),0.624)</f>
        <v>0.624</v>
      </c>
      <c r="O14" s="35">
        <f>IFERROR(__xludf.DUMMYFUNCTION("""COMPUTED_VALUE"""),239.0)</f>
        <v>239</v>
      </c>
      <c r="P14" s="37">
        <f>IFERROR(__xludf.DUMMYFUNCTION("""COMPUTED_VALUE"""),3000.0)</f>
        <v>3000</v>
      </c>
      <c r="Q14" s="37">
        <f>IFERROR(__xludf.DUMMYFUNCTION("""COMPUTED_VALUE"""),1600.0)</f>
        <v>1600</v>
      </c>
      <c r="R14" s="37"/>
      <c r="S14" s="38">
        <f>IFERROR(__xludf.DUMMYFUNCTION("""COMPUTED_VALUE"""),45460.0)</f>
        <v>45460</v>
      </c>
      <c r="T14" s="35"/>
      <c r="U14" s="35"/>
      <c r="V14" s="35"/>
      <c r="W14" s="35"/>
      <c r="X14" s="35"/>
      <c r="Y14" s="35"/>
      <c r="Z14" s="35"/>
    </row>
    <row r="15">
      <c r="A15" s="35" t="str">
        <f>IFERROR(__xludf.DUMMYFUNCTION("""COMPUTED_VALUE"""),"JP")</f>
        <v>JP</v>
      </c>
      <c r="B15" s="35" t="str">
        <f>IFERROR(__xludf.DUMMYFUNCTION("""COMPUTED_VALUE"""),"ベンチャー")</f>
        <v>ベンチャー</v>
      </c>
      <c r="C15" s="35" t="str">
        <f>IFERROR(__xludf.DUMMYFUNCTION("""COMPUTED_VALUE"""),"ベンチャー")</f>
        <v>ベンチャー</v>
      </c>
      <c r="D15" s="35" t="str">
        <f>IFERROR(__xludf.DUMMYFUNCTION("""COMPUTED_VALUE"""),"秩父")</f>
        <v>秩父</v>
      </c>
      <c r="E15" s="35" t="str">
        <f>IFERROR(__xludf.DUMMYFUNCTION("""COMPUTED_VALUE"""),"シングルカスク")</f>
        <v>シングルカスク</v>
      </c>
      <c r="F15" s="35" t="str">
        <f>IFERROR(__xludf.DUMMYFUNCTION("""COMPUTED_VALUE"""),"#207")</f>
        <v>#207</v>
      </c>
      <c r="G15" s="35" t="str">
        <f>IFERROR(__xludf.DUMMYFUNCTION("""COMPUTED_VALUE"""),"イチローズモルト秩父 MDC 5年")</f>
        <v>イチローズモルト秩父 MDC 5年</v>
      </c>
      <c r="H15" s="35" t="str">
        <f>IFERROR(__xludf.DUMMYFUNCTION("""COMPUTED_VALUE"""),"魔女")</f>
        <v>魔女</v>
      </c>
      <c r="I15" s="35"/>
      <c r="J15" s="34" t="str">
        <f>IFERROR(__xludf.DUMMYFUNCTION("""COMPUTED_VALUE"""),"バーボン樽")</f>
        <v>バーボン樽</v>
      </c>
      <c r="K15" s="34" t="str">
        <f>IFERROR(__xludf.DUMMYFUNCTION("""COMPUTED_VALUE"""),"2008.12-2014.3")</f>
        <v>2008.12-2014.3</v>
      </c>
      <c r="L15" s="35"/>
      <c r="M15" s="35"/>
      <c r="N15" s="36">
        <f>IFERROR(__xludf.DUMMYFUNCTION("""COMPUTED_VALUE"""),0.62)</f>
        <v>0.62</v>
      </c>
      <c r="O15" s="35">
        <f>IFERROR(__xludf.DUMMYFUNCTION("""COMPUTED_VALUE"""),221.0)</f>
        <v>221</v>
      </c>
      <c r="P15" s="37">
        <f>IFERROR(__xludf.DUMMYFUNCTION("""COMPUTED_VALUE"""),3000.0)</f>
        <v>3000</v>
      </c>
      <c r="Q15" s="37">
        <f>IFERROR(__xludf.DUMMYFUNCTION("""COMPUTED_VALUE"""),1600.0)</f>
        <v>1600</v>
      </c>
      <c r="R15" s="37"/>
      <c r="S15" s="38">
        <f>IFERROR(__xludf.DUMMYFUNCTION("""COMPUTED_VALUE"""),45456.0)</f>
        <v>45456</v>
      </c>
      <c r="T15" s="35"/>
      <c r="U15" s="35"/>
      <c r="V15" s="35"/>
      <c r="W15" s="35"/>
      <c r="X15" s="35"/>
      <c r="Y15" s="35"/>
      <c r="Z15" s="35"/>
    </row>
    <row r="16">
      <c r="A16" s="35" t="str">
        <f>IFERROR(__xludf.DUMMYFUNCTION("""COMPUTED_VALUE"""),"JP")</f>
        <v>JP</v>
      </c>
      <c r="B16" s="35" t="str">
        <f>IFERROR(__xludf.DUMMYFUNCTION("""COMPUTED_VALUE"""),"ベンチャー")</f>
        <v>ベンチャー</v>
      </c>
      <c r="C16" s="35" t="str">
        <f>IFERROR(__xludf.DUMMYFUNCTION("""COMPUTED_VALUE"""),"ベンチャー")</f>
        <v>ベンチャー</v>
      </c>
      <c r="D16" s="35" t="str">
        <f>IFERROR(__xludf.DUMMYFUNCTION("""COMPUTED_VALUE"""),"秩父")</f>
        <v>秩父</v>
      </c>
      <c r="E16" s="35" t="str">
        <f>IFERROR(__xludf.DUMMYFUNCTION("""COMPUTED_VALUE"""),"シングルカスク")</f>
        <v>シングルカスク</v>
      </c>
      <c r="F16" s="35" t="str">
        <f>IFERROR(__xludf.DUMMYFUNCTION("""COMPUTED_VALUE"""),"#198")</f>
        <v>#198</v>
      </c>
      <c r="G16" s="35" t="str">
        <f>IFERROR(__xludf.DUMMYFUNCTION("""COMPUTED_VALUE"""),"イチローズモルト秩父 MDC 6年")</f>
        <v>イチローズモルト秩父 MDC 6年</v>
      </c>
      <c r="H16" s="35" t="str">
        <f>IFERROR(__xludf.DUMMYFUNCTION("""COMPUTED_VALUE"""),"for 紀伊國屋酒店")</f>
        <v>for 紀伊國屋酒店</v>
      </c>
      <c r="I16" s="35"/>
      <c r="J16" s="34" t="str">
        <f>IFERROR(__xludf.DUMMYFUNCTION("""COMPUTED_VALUE"""),"バーボン樽")</f>
        <v>バーボン樽</v>
      </c>
      <c r="K16" s="34" t="str">
        <f>IFERROR(__xludf.DUMMYFUNCTION("""COMPUTED_VALUE"""),"2008.12-2015.1")</f>
        <v>2008.12-2015.1</v>
      </c>
      <c r="L16" s="35"/>
      <c r="M16" s="35"/>
      <c r="N16" s="36">
        <f>IFERROR(__xludf.DUMMYFUNCTION("""COMPUTED_VALUE"""),0.62)</f>
        <v>0.62</v>
      </c>
      <c r="O16" s="35">
        <f>IFERROR(__xludf.DUMMYFUNCTION("""COMPUTED_VALUE"""),213.0)</f>
        <v>213</v>
      </c>
      <c r="P16" s="37">
        <f>IFERROR(__xludf.DUMMYFUNCTION("""COMPUTED_VALUE"""),3500.0)</f>
        <v>3500</v>
      </c>
      <c r="Q16" s="37">
        <f>IFERROR(__xludf.DUMMYFUNCTION("""COMPUTED_VALUE"""),1900.0)</f>
        <v>1900</v>
      </c>
      <c r="R16" s="37"/>
      <c r="S16" s="38">
        <f>IFERROR(__xludf.DUMMYFUNCTION("""COMPUTED_VALUE"""),45462.0)</f>
        <v>45462</v>
      </c>
      <c r="T16" s="35"/>
      <c r="U16" s="35"/>
      <c r="V16" s="35"/>
      <c r="W16" s="35"/>
      <c r="X16" s="35"/>
      <c r="Y16" s="35"/>
      <c r="Z16" s="35"/>
    </row>
    <row r="17">
      <c r="A17" s="35" t="str">
        <f>IFERROR(__xludf.DUMMYFUNCTION("""COMPUTED_VALUE"""),"JP")</f>
        <v>JP</v>
      </c>
      <c r="B17" s="35" t="str">
        <f>IFERROR(__xludf.DUMMYFUNCTION("""COMPUTED_VALUE"""),"ベンチャー")</f>
        <v>ベンチャー</v>
      </c>
      <c r="C17" s="35" t="str">
        <f>IFERROR(__xludf.DUMMYFUNCTION("""COMPUTED_VALUE"""),"ベンチャー")</f>
        <v>ベンチャー</v>
      </c>
      <c r="D17" s="35" t="str">
        <f>IFERROR(__xludf.DUMMYFUNCTION("""COMPUTED_VALUE"""),"秩父")</f>
        <v>秩父</v>
      </c>
      <c r="E17" s="35" t="str">
        <f>IFERROR(__xludf.DUMMYFUNCTION("""COMPUTED_VALUE"""),"シングルカスク")</f>
        <v>シングルカスク</v>
      </c>
      <c r="F17" s="35" t="str">
        <f>IFERROR(__xludf.DUMMYFUNCTION("""COMPUTED_VALUE"""),"#188")</f>
        <v>#188</v>
      </c>
      <c r="G17" s="35" t="str">
        <f>IFERROR(__xludf.DUMMYFUNCTION("""COMPUTED_VALUE"""),"イチローズモルト秩父 MDC 6年")</f>
        <v>イチローズモルト秩父 MDC 6年</v>
      </c>
      <c r="H17" s="35" t="str">
        <f>IFERROR(__xludf.DUMMYFUNCTION("""COMPUTED_VALUE"""),"for 芹沢酒店")</f>
        <v>for 芹沢酒店</v>
      </c>
      <c r="I17" s="35"/>
      <c r="J17" s="34" t="str">
        <f>IFERROR(__xludf.DUMMYFUNCTION("""COMPUTED_VALUE"""),"バーボン樽")</f>
        <v>バーボン樽</v>
      </c>
      <c r="K17" s="34" t="str">
        <f>IFERROR(__xludf.DUMMYFUNCTION("""COMPUTED_VALUE"""),"2008.12-2015.3")</f>
        <v>2008.12-2015.3</v>
      </c>
      <c r="L17" s="35"/>
      <c r="M17" s="35"/>
      <c r="N17" s="36">
        <f>IFERROR(__xludf.DUMMYFUNCTION("""COMPUTED_VALUE"""),0.624)</f>
        <v>0.624</v>
      </c>
      <c r="O17" s="35">
        <f>IFERROR(__xludf.DUMMYFUNCTION("""COMPUTED_VALUE"""),205.0)</f>
        <v>205</v>
      </c>
      <c r="P17" s="37">
        <f>IFERROR(__xludf.DUMMYFUNCTION("""COMPUTED_VALUE"""),3500.0)</f>
        <v>3500</v>
      </c>
      <c r="Q17" s="37">
        <f>IFERROR(__xludf.DUMMYFUNCTION("""COMPUTED_VALUE"""),1900.0)</f>
        <v>1900</v>
      </c>
      <c r="R17" s="37"/>
      <c r="S17" s="38">
        <f>IFERROR(__xludf.DUMMYFUNCTION("""COMPUTED_VALUE"""),45464.0)</f>
        <v>45464</v>
      </c>
      <c r="T17" s="35"/>
      <c r="U17" s="35"/>
      <c r="V17" s="35"/>
      <c r="W17" s="35"/>
      <c r="X17" s="35"/>
      <c r="Y17" s="35"/>
      <c r="Z17" s="35"/>
    </row>
    <row r="18">
      <c r="A18" s="35" t="str">
        <f>IFERROR(__xludf.DUMMYFUNCTION("""COMPUTED_VALUE"""),"JP")</f>
        <v>JP</v>
      </c>
      <c r="B18" s="35" t="str">
        <f>IFERROR(__xludf.DUMMYFUNCTION("""COMPUTED_VALUE"""),"ベンチャー")</f>
        <v>ベンチャー</v>
      </c>
      <c r="C18" s="35" t="str">
        <f>IFERROR(__xludf.DUMMYFUNCTION("""COMPUTED_VALUE"""),"ベンチャー")</f>
        <v>ベンチャー</v>
      </c>
      <c r="D18" s="35" t="str">
        <f>IFERROR(__xludf.DUMMYFUNCTION("""COMPUTED_VALUE"""),"秩父")</f>
        <v>秩父</v>
      </c>
      <c r="E18" s="35" t="str">
        <f>IFERROR(__xludf.DUMMYFUNCTION("""COMPUTED_VALUE"""),"シングルカスク")</f>
        <v>シングルカスク</v>
      </c>
      <c r="F18" s="35" t="str">
        <f>IFERROR(__xludf.DUMMYFUNCTION("""COMPUTED_VALUE"""),"#200")</f>
        <v>#200</v>
      </c>
      <c r="G18" s="35" t="str">
        <f>IFERROR(__xludf.DUMMYFUNCTION("""COMPUTED_VALUE"""),"イチローズモルト秩父 MDC 7年")</f>
        <v>イチローズモルト秩父 MDC 7年</v>
      </c>
      <c r="H18" s="35" t="str">
        <f>IFERROR(__xludf.DUMMYFUNCTION("""COMPUTED_VALUE"""),"for 武蔵屋")</f>
        <v>for 武蔵屋</v>
      </c>
      <c r="I18" s="35"/>
      <c r="J18" s="34" t="str">
        <f>IFERROR(__xludf.DUMMYFUNCTION("""COMPUTED_VALUE"""),"バーボン樽")</f>
        <v>バーボン樽</v>
      </c>
      <c r="K18" s="34" t="str">
        <f>IFERROR(__xludf.DUMMYFUNCTION("""COMPUTED_VALUE"""),"2008.12-2016.6")</f>
        <v>2008.12-2016.6</v>
      </c>
      <c r="L18" s="35"/>
      <c r="M18" s="35"/>
      <c r="N18" s="36">
        <f>IFERROR(__xludf.DUMMYFUNCTION("""COMPUTED_VALUE"""),0.618)</f>
        <v>0.618</v>
      </c>
      <c r="O18" s="35">
        <f>IFERROR(__xludf.DUMMYFUNCTION("""COMPUTED_VALUE"""),194.0)</f>
        <v>194</v>
      </c>
      <c r="P18" s="37">
        <f>IFERROR(__xludf.DUMMYFUNCTION("""COMPUTED_VALUE"""),3500.0)</f>
        <v>3500</v>
      </c>
      <c r="Q18" s="37">
        <f>IFERROR(__xludf.DUMMYFUNCTION("""COMPUTED_VALUE"""),1900.0)</f>
        <v>1900</v>
      </c>
      <c r="R18" s="37"/>
      <c r="S18" s="38">
        <f>IFERROR(__xludf.DUMMYFUNCTION("""COMPUTED_VALUE"""),45465.0)</f>
        <v>45465</v>
      </c>
      <c r="T18" s="35"/>
      <c r="U18" s="35"/>
      <c r="V18" s="35"/>
      <c r="W18" s="35"/>
      <c r="X18" s="35"/>
      <c r="Y18" s="35"/>
      <c r="Z18" s="35"/>
    </row>
    <row r="19">
      <c r="A19" s="35" t="str">
        <f>IFERROR(__xludf.DUMMYFUNCTION("""COMPUTED_VALUE"""),"JP")</f>
        <v>JP</v>
      </c>
      <c r="B19" s="35" t="str">
        <f>IFERROR(__xludf.DUMMYFUNCTION("""COMPUTED_VALUE"""),"ベンチャー")</f>
        <v>ベンチャー</v>
      </c>
      <c r="C19" s="35" t="str">
        <f>IFERROR(__xludf.DUMMYFUNCTION("""COMPUTED_VALUE"""),"ベンチャー")</f>
        <v>ベンチャー</v>
      </c>
      <c r="D19" s="35" t="str">
        <f>IFERROR(__xludf.DUMMYFUNCTION("""COMPUTED_VALUE"""),"秩父")</f>
        <v>秩父</v>
      </c>
      <c r="E19" s="35" t="str">
        <f>IFERROR(__xludf.DUMMYFUNCTION("""COMPUTED_VALUE"""),"シングルカスク")</f>
        <v>シングルカスク</v>
      </c>
      <c r="F19" s="35" t="str">
        <f>IFERROR(__xludf.DUMMYFUNCTION("""COMPUTED_VALUE"""),"#14569")</f>
        <v>#14569</v>
      </c>
      <c r="G19" s="35" t="str">
        <f>IFERROR(__xludf.DUMMYFUNCTION("""COMPUTED_VALUE"""),"イチローズモルト秩父 SERIZAWA100th. Anniversary")</f>
        <v>イチローズモルト秩父 SERIZAWA100th. Anniversary</v>
      </c>
      <c r="H19" s="35" t="str">
        <f>IFERROR(__xludf.DUMMYFUNCTION("""COMPUTED_VALUE"""),"for 芹沢酒店")</f>
        <v>for 芹沢酒店</v>
      </c>
      <c r="I19" s="35"/>
      <c r="J19" s="34" t="str">
        <f>IFERROR(__xludf.DUMMYFUNCTION("""COMPUTED_VALUE"""),"シェリー樽")</f>
        <v>シェリー樽</v>
      </c>
      <c r="K19" s="34" t="str">
        <f>IFERROR(__xludf.DUMMYFUNCTION("""COMPUTED_VALUE"""),"2017-2024")</f>
        <v>2017-2024</v>
      </c>
      <c r="L19" s="35"/>
      <c r="M19" s="35"/>
      <c r="N19" s="36">
        <f>IFERROR(__xludf.DUMMYFUNCTION("""COMPUTED_VALUE"""),0.64)</f>
        <v>0.64</v>
      </c>
      <c r="O19" s="35">
        <f>IFERROR(__xludf.DUMMYFUNCTION("""COMPUTED_VALUE"""),274.0)</f>
        <v>274</v>
      </c>
      <c r="P19" s="37">
        <f>IFERROR(__xludf.DUMMYFUNCTION("""COMPUTED_VALUE"""),4000.0)</f>
        <v>4000</v>
      </c>
      <c r="Q19" s="37">
        <f>IFERROR(__xludf.DUMMYFUNCTION("""COMPUTED_VALUE"""),2200.0)</f>
        <v>2200</v>
      </c>
      <c r="R19" s="37"/>
      <c r="S19" s="38">
        <f>IFERROR(__xludf.DUMMYFUNCTION("""COMPUTED_VALUE"""),45663.0)</f>
        <v>45663</v>
      </c>
      <c r="T19" s="35"/>
      <c r="U19" s="35"/>
      <c r="V19" s="35"/>
      <c r="W19" s="35"/>
      <c r="X19" s="35"/>
      <c r="Y19" s="35"/>
      <c r="Z19" s="35"/>
    </row>
    <row r="20">
      <c r="A20" s="35" t="str">
        <f>IFERROR(__xludf.DUMMYFUNCTION("""COMPUTED_VALUE"""),"JP")</f>
        <v>JP</v>
      </c>
      <c r="B20" s="35" t="str">
        <f>IFERROR(__xludf.DUMMYFUNCTION("""COMPUTED_VALUE"""),"ベンチャー")</f>
        <v>ベンチャー</v>
      </c>
      <c r="C20" s="35" t="str">
        <f>IFERROR(__xludf.DUMMYFUNCTION("""COMPUTED_VALUE"""),"ベンチャー")</f>
        <v>ベンチャー</v>
      </c>
      <c r="D20" s="35" t="str">
        <f>IFERROR(__xludf.DUMMYFUNCTION("""COMPUTED_VALUE"""),"秩父")</f>
        <v>秩父</v>
      </c>
      <c r="E20" s="35" t="str">
        <f>IFERROR(__xludf.DUMMYFUNCTION("""COMPUTED_VALUE"""),"シングルカスク")</f>
        <v>シングルカスク</v>
      </c>
      <c r="F20" s="35" t="str">
        <f>IFERROR(__xludf.DUMMYFUNCTION("""COMPUTED_VALUE"""),"#4426")</f>
        <v>#4426</v>
      </c>
      <c r="G20" s="35" t="str">
        <f>IFERROR(__xludf.DUMMYFUNCTION("""COMPUTED_VALUE"""),"イチローズモルト秩父 ニホンライチョウ")</f>
        <v>イチローズモルト秩父 ニホンライチョウ</v>
      </c>
      <c r="H20" s="35" t="str">
        <f>IFERROR(__xludf.DUMMYFUNCTION("""COMPUTED_VALUE"""),"for ウイスキートーク福岡2021")</f>
        <v>for ウイスキートーク福岡2021</v>
      </c>
      <c r="I20" s="35"/>
      <c r="J20" s="34" t="str">
        <f>IFERROR(__xludf.DUMMYFUNCTION("""COMPUTED_VALUE"""),"バーボン樽")</f>
        <v>バーボン樽</v>
      </c>
      <c r="K20" s="34" t="str">
        <f>IFERROR(__xludf.DUMMYFUNCTION("""COMPUTED_VALUE"""),"2015-2021")</f>
        <v>2015-2021</v>
      </c>
      <c r="L20" s="35"/>
      <c r="M20" s="35"/>
      <c r="N20" s="36">
        <f>IFERROR(__xludf.DUMMYFUNCTION("""COMPUTED_VALUE"""),0.63)</f>
        <v>0.63</v>
      </c>
      <c r="O20" s="35">
        <f>IFERROR(__xludf.DUMMYFUNCTION("""COMPUTED_VALUE"""),216.0)</f>
        <v>216</v>
      </c>
      <c r="P20" s="37">
        <f>IFERROR(__xludf.DUMMYFUNCTION("""COMPUTED_VALUE"""),3500.0)</f>
        <v>3500</v>
      </c>
      <c r="Q20" s="37">
        <f>IFERROR(__xludf.DUMMYFUNCTION("""COMPUTED_VALUE"""),1900.0)</f>
        <v>1900</v>
      </c>
      <c r="R20" s="37"/>
      <c r="S20" s="38">
        <f>IFERROR(__xludf.DUMMYFUNCTION("""COMPUTED_VALUE"""),44967.0)</f>
        <v>44967</v>
      </c>
      <c r="T20" s="35"/>
      <c r="U20" s="35"/>
      <c r="V20" s="35"/>
      <c r="W20" s="35"/>
      <c r="X20" s="35"/>
      <c r="Y20" s="35"/>
      <c r="Z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IFERROR(__xludf.DUMMYFUNCTION("""COMPUTED_VALUE"""),"ベンチャー")</f>
        <v>ベンチャー</v>
      </c>
      <c r="C21" s="35" t="str">
        <f>IFERROR(__xludf.DUMMYFUNCTION("""COMPUTED_VALUE"""),"ベンチャー")</f>
        <v>ベンチャー</v>
      </c>
      <c r="D21" s="35" t="str">
        <f>IFERROR(__xludf.DUMMYFUNCTION("""COMPUTED_VALUE"""),"秩父")</f>
        <v>秩父</v>
      </c>
      <c r="E21" s="35" t="str">
        <f>IFERROR(__xludf.DUMMYFUNCTION("""COMPUTED_VALUE"""),"シングルカスク")</f>
        <v>シングルカスク</v>
      </c>
      <c r="F21" s="35" t="str">
        <f>IFERROR(__xludf.DUMMYFUNCTION("""COMPUTED_VALUE"""),"#7199")</f>
        <v>#7199</v>
      </c>
      <c r="G21" s="35" t="str">
        <f>IFERROR(__xludf.DUMMYFUNCTION("""COMPUTED_VALUE"""),"イチローズモルト秩父 ラッコ")</f>
        <v>イチローズモルト秩父 ラッコ</v>
      </c>
      <c r="H21" s="35" t="str">
        <f>IFERROR(__xludf.DUMMYFUNCTION("""COMPUTED_VALUE"""),"for ウイスキートーク福岡2022")</f>
        <v>for ウイスキートーク福岡2022</v>
      </c>
      <c r="I21" s="35"/>
      <c r="J21" s="34" t="str">
        <f>IFERROR(__xludf.DUMMYFUNCTION("""COMPUTED_VALUE"""),"ブルゴーニュワイン樽")</f>
        <v>ブルゴーニュワイン樽</v>
      </c>
      <c r="K21" s="34" t="str">
        <f>IFERROR(__xludf.DUMMYFUNCTION("""COMPUTED_VALUE"""),"2016-2022")</f>
        <v>2016-2022</v>
      </c>
      <c r="L21" s="35"/>
      <c r="M21" s="35"/>
      <c r="N21" s="36">
        <f>IFERROR(__xludf.DUMMYFUNCTION("""COMPUTED_VALUE"""),0.62)</f>
        <v>0.62</v>
      </c>
      <c r="O21" s="35">
        <f>IFERROR(__xludf.DUMMYFUNCTION("""COMPUTED_VALUE"""),259.0)</f>
        <v>259</v>
      </c>
      <c r="P21" s="37">
        <f>IFERROR(__xludf.DUMMYFUNCTION("""COMPUTED_VALUE"""),3500.0)</f>
        <v>3500</v>
      </c>
      <c r="Q21" s="37">
        <f>IFERROR(__xludf.DUMMYFUNCTION("""COMPUTED_VALUE"""),1900.0)</f>
        <v>1900</v>
      </c>
      <c r="R21" s="37"/>
      <c r="S21" s="38">
        <f>IFERROR(__xludf.DUMMYFUNCTION("""COMPUTED_VALUE"""),44968.0)</f>
        <v>44968</v>
      </c>
      <c r="T21" s="35"/>
      <c r="U21" s="35"/>
      <c r="V21" s="35"/>
      <c r="W21" s="35"/>
      <c r="X21" s="35"/>
      <c r="Y21" s="35"/>
      <c r="Z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IFERROR(__xludf.DUMMYFUNCTION("""COMPUTED_VALUE"""),"ベンチャー")</f>
        <v>ベンチャー</v>
      </c>
      <c r="C22" s="35" t="str">
        <f>IFERROR(__xludf.DUMMYFUNCTION("""COMPUTED_VALUE"""),"ベンチャー")</f>
        <v>ベンチャー</v>
      </c>
      <c r="D22" s="35" t="str">
        <f>IFERROR(__xludf.DUMMYFUNCTION("""COMPUTED_VALUE"""),"秩父")</f>
        <v>秩父</v>
      </c>
      <c r="E22" s="35" t="str">
        <f>IFERROR(__xludf.DUMMYFUNCTION("""COMPUTED_VALUE"""),"シングルカスク")</f>
        <v>シングルカスク</v>
      </c>
      <c r="F22" s="35" t="str">
        <f>IFERROR(__xludf.DUMMYFUNCTION("""COMPUTED_VALUE"""),"#23")</f>
        <v>#23</v>
      </c>
      <c r="G22" s="35" t="str">
        <f>IFERROR(__xludf.DUMMYFUNCTION("""COMPUTED_VALUE"""),"イチローズモルト秩父 ニューボーン")</f>
        <v>イチローズモルト秩父 ニューボーン</v>
      </c>
      <c r="H22" s="35"/>
      <c r="I22" s="35"/>
      <c r="J22" s="34" t="str">
        <f>IFERROR(__xludf.DUMMYFUNCTION("""COMPUTED_VALUE"""),"ホグスヘッド新樽")</f>
        <v>ホグスヘッド新樽</v>
      </c>
      <c r="K22" s="34" t="str">
        <f>IFERROR(__xludf.DUMMYFUNCTION("""COMPUTED_VALUE"""),"2008.4-2008.10")</f>
        <v>2008.4-2008.10</v>
      </c>
      <c r="L22" s="35"/>
      <c r="M22" s="35"/>
      <c r="N22" s="36">
        <f>IFERROR(__xludf.DUMMYFUNCTION("""COMPUTED_VALUE"""),0.629)</f>
        <v>0.629</v>
      </c>
      <c r="O22" s="35">
        <f>IFERROR(__xludf.DUMMYFUNCTION("""COMPUTED_VALUE"""),357.0)</f>
        <v>357</v>
      </c>
      <c r="P22" s="37">
        <f>IFERROR(__xludf.DUMMYFUNCTION("""COMPUTED_VALUE"""),2000.0)</f>
        <v>2000</v>
      </c>
      <c r="Q22" s="37">
        <f>IFERROR(__xludf.DUMMYFUNCTION("""COMPUTED_VALUE"""),1100.0)</f>
        <v>1100</v>
      </c>
      <c r="R22" s="37"/>
      <c r="S22" s="38">
        <f>IFERROR(__xludf.DUMMYFUNCTION("""COMPUTED_VALUE"""),45059.0)</f>
        <v>45059</v>
      </c>
      <c r="T22" s="35"/>
      <c r="U22" s="35"/>
      <c r="V22" s="35"/>
      <c r="W22" s="35"/>
      <c r="X22" s="35"/>
      <c r="Y22" s="35"/>
      <c r="Z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IFERROR(__xludf.DUMMYFUNCTION("""COMPUTED_VALUE"""),"ベンチャー")</f>
        <v>ベンチャー</v>
      </c>
      <c r="C23" s="35" t="str">
        <f>IFERROR(__xludf.DUMMYFUNCTION("""COMPUTED_VALUE"""),"ベンチャー")</f>
        <v>ベンチャー</v>
      </c>
      <c r="D23" s="35"/>
      <c r="E23" s="35" t="str">
        <f>IFERROR(__xludf.DUMMYFUNCTION("""COMPUTED_VALUE"""),"シングルカスクブレンデッド")</f>
        <v>シングルカスクブレンデッド</v>
      </c>
      <c r="F23" s="35"/>
      <c r="G23" s="35" t="str">
        <f>IFERROR(__xludf.DUMMYFUNCTION("""COMPUTED_VALUE"""),"イチローズモルト 神田バーテンダーズチョイス 2017")</f>
        <v>イチローズモルト 神田バーテンダーズチョイス 2017</v>
      </c>
      <c r="H23" s="35"/>
      <c r="I23" s="35"/>
      <c r="J23" s="34"/>
      <c r="K23" s="34"/>
      <c r="L23" s="35"/>
      <c r="M23" s="35"/>
      <c r="N23" s="36">
        <f>IFERROR(__xludf.DUMMYFUNCTION("""COMPUTED_VALUE"""),0.591)</f>
        <v>0.591</v>
      </c>
      <c r="O23" s="35">
        <f>IFERROR(__xludf.DUMMYFUNCTION("""COMPUTED_VALUE"""),246.0)</f>
        <v>246</v>
      </c>
      <c r="P23" s="37">
        <f>IFERROR(__xludf.DUMMYFUNCTION("""COMPUTED_VALUE"""),3000.0)</f>
        <v>3000</v>
      </c>
      <c r="Q23" s="37">
        <f>IFERROR(__xludf.DUMMYFUNCTION("""COMPUTED_VALUE"""),1600.0)</f>
        <v>1600</v>
      </c>
      <c r="R23" s="37"/>
      <c r="S23" s="38">
        <f>IFERROR(__xludf.DUMMYFUNCTION("""COMPUTED_VALUE"""),45472.0)</f>
        <v>45472</v>
      </c>
      <c r="T23" s="35"/>
      <c r="U23" s="35"/>
      <c r="V23" s="35"/>
      <c r="W23" s="35"/>
      <c r="X23" s="35"/>
      <c r="Y23" s="35"/>
      <c r="Z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IFERROR(__xludf.DUMMYFUNCTION("""COMPUTED_VALUE"""),"ベンチャー")</f>
        <v>ベンチャー</v>
      </c>
      <c r="C24" s="35" t="str">
        <f>IFERROR(__xludf.DUMMYFUNCTION("""COMPUTED_VALUE"""),"ベンチャー")</f>
        <v>ベンチャー</v>
      </c>
      <c r="D24" s="35"/>
      <c r="E24" s="35" t="str">
        <f>IFERROR(__xludf.DUMMYFUNCTION("""COMPUTED_VALUE"""),"シングルカスクブレンデッド")</f>
        <v>シングルカスクブレンデッド</v>
      </c>
      <c r="F24" s="35"/>
      <c r="G24" s="35" t="str">
        <f>IFERROR(__xludf.DUMMYFUNCTION("""COMPUTED_VALUE"""),"イチローズモルト 神田バーテンダーズチョイス 2021")</f>
        <v>イチローズモルト 神田バーテンダーズチョイス 2021</v>
      </c>
      <c r="H24" s="35"/>
      <c r="I24" s="35"/>
      <c r="J24" s="34"/>
      <c r="K24" s="34"/>
      <c r="L24" s="35"/>
      <c r="M24" s="35"/>
      <c r="N24" s="36">
        <f>IFERROR(__xludf.DUMMYFUNCTION("""COMPUTED_VALUE"""),0.58)</f>
        <v>0.58</v>
      </c>
      <c r="O24" s="35">
        <f>IFERROR(__xludf.DUMMYFUNCTION("""COMPUTED_VALUE"""),313.0)</f>
        <v>313</v>
      </c>
      <c r="P24" s="37">
        <f>IFERROR(__xludf.DUMMYFUNCTION("""COMPUTED_VALUE"""),3000.0)</f>
        <v>3000</v>
      </c>
      <c r="Q24" s="37">
        <f>IFERROR(__xludf.DUMMYFUNCTION("""COMPUTED_VALUE"""),1600.0)</f>
        <v>1600</v>
      </c>
      <c r="R24" s="37"/>
      <c r="S24" s="38">
        <f>IFERROR(__xludf.DUMMYFUNCTION("""COMPUTED_VALUE"""),45473.0)</f>
        <v>45473</v>
      </c>
      <c r="T24" s="35"/>
      <c r="U24" s="35"/>
      <c r="V24" s="35"/>
      <c r="W24" s="35"/>
      <c r="X24" s="35"/>
      <c r="Y24" s="35"/>
      <c r="Z24" s="35"/>
    </row>
    <row r="25" ht="15.75" customHeight="1">
      <c r="A25" s="35" t="str">
        <f>IFERROR(__xludf.DUMMYFUNCTION("""COMPUTED_VALUE"""),"JP")</f>
        <v>JP</v>
      </c>
      <c r="B25" s="39" t="str">
        <f>IFERROR(__xludf.DUMMYFUNCTION("""COMPUTED_VALUE"""),"ベンチャー")</f>
        <v>ベンチャー</v>
      </c>
      <c r="C25" s="35" t="str">
        <f>IFERROR(__xludf.DUMMYFUNCTION("""COMPUTED_VALUE"""),"ベンチャー")</f>
        <v>ベンチャー</v>
      </c>
      <c r="D25" s="35"/>
      <c r="E25" s="35" t="str">
        <f>IFERROR(__xludf.DUMMYFUNCTION("""COMPUTED_VALUE"""),"シングルカスクブレンデッド")</f>
        <v>シングルカスクブレンデッド</v>
      </c>
      <c r="F25" s="35" t="str">
        <f>IFERROR(__xludf.DUMMYFUNCTION("""COMPUTED_VALUE"""),"#4080")</f>
        <v>#4080</v>
      </c>
      <c r="G25" s="35" t="str">
        <f>IFERROR(__xludf.DUMMYFUNCTION("""COMPUTED_VALUE"""),"イチローズモルト&amp;グレーン")</f>
        <v>イチローズモルト&amp;グレーン</v>
      </c>
      <c r="H25" s="35" t="str">
        <f>IFERROR(__xludf.DUMMYFUNCTION("""COMPUTED_VALUE"""),"for ボン洋酒店30周年記念")</f>
        <v>for ボン洋酒店30周年記念</v>
      </c>
      <c r="I25" s="35"/>
      <c r="J25" s="34" t="str">
        <f>IFERROR(__xludf.DUMMYFUNCTION("""COMPUTED_VALUE"""),"バーボン樽")</f>
        <v>バーボン樽</v>
      </c>
      <c r="K25" s="34" t="str">
        <f>IFERROR(__xludf.DUMMYFUNCTION("""COMPUTED_VALUE"""),"？-2016.11")</f>
        <v>？-2016.11</v>
      </c>
      <c r="L25" s="35"/>
      <c r="M25" s="35"/>
      <c r="N25" s="36">
        <f>IFERROR(__xludf.DUMMYFUNCTION("""COMPUTED_VALUE"""),0.59)</f>
        <v>0.59</v>
      </c>
      <c r="O25" s="35">
        <f>IFERROR(__xludf.DUMMYFUNCTION("""COMPUTED_VALUE"""),250.0)</f>
        <v>250</v>
      </c>
      <c r="P25" s="37">
        <f>IFERROR(__xludf.DUMMYFUNCTION("""COMPUTED_VALUE"""),3000.0)</f>
        <v>3000</v>
      </c>
      <c r="Q25" s="37">
        <f>IFERROR(__xludf.DUMMYFUNCTION("""COMPUTED_VALUE"""),1600.0)</f>
        <v>1600</v>
      </c>
      <c r="R25" s="37"/>
      <c r="S25" s="38">
        <f>IFERROR(__xludf.DUMMYFUNCTION("""COMPUTED_VALUE"""),45001.0)</f>
        <v>45001</v>
      </c>
      <c r="T25" s="35"/>
      <c r="U25" s="35"/>
      <c r="V25" s="35"/>
      <c r="W25" s="35"/>
      <c r="X25" s="35"/>
      <c r="Y25" s="35"/>
      <c r="Z25" s="35"/>
    </row>
    <row r="26" ht="15.75" customHeight="1">
      <c r="A26" s="35" t="str">
        <f>IFERROR(__xludf.DUMMYFUNCTION("""COMPUTED_VALUE"""),"JP")</f>
        <v>JP</v>
      </c>
      <c r="B26" s="39" t="str">
        <f>IFERROR(__xludf.DUMMYFUNCTION("""COMPUTED_VALUE"""),"ベンチャー")</f>
        <v>ベンチャー</v>
      </c>
      <c r="C26" s="35" t="str">
        <f>IFERROR(__xludf.DUMMYFUNCTION("""COMPUTED_VALUE"""),"ベンチャー")</f>
        <v>ベンチャー</v>
      </c>
      <c r="D26" s="35"/>
      <c r="E26" s="35" t="str">
        <f>IFERROR(__xludf.DUMMYFUNCTION("""COMPUTED_VALUE"""),"シングルカスクブレンデッド")</f>
        <v>シングルカスクブレンデッド</v>
      </c>
      <c r="F26" s="35" t="str">
        <f>IFERROR(__xludf.DUMMYFUNCTION("""COMPUTED_VALUE"""),"#4083")</f>
        <v>#4083</v>
      </c>
      <c r="G26" s="35" t="str">
        <f>IFERROR(__xludf.DUMMYFUNCTION("""COMPUTED_VALUE"""),"イチローズモルト&amp;グレーン")</f>
        <v>イチローズモルト&amp;グレーン</v>
      </c>
      <c r="H26" s="35" t="str">
        <f>IFERROR(__xludf.DUMMYFUNCTION("""COMPUTED_VALUE"""),"for 秋田屋160周年記念")</f>
        <v>for 秋田屋160周年記念</v>
      </c>
      <c r="I26" s="35"/>
      <c r="J26" s="34" t="str">
        <f>IFERROR(__xludf.DUMMYFUNCTION("""COMPUTED_VALUE"""),"バーボン樽")</f>
        <v>バーボン樽</v>
      </c>
      <c r="K26" s="34" t="str">
        <f>IFERROR(__xludf.DUMMYFUNCTION("""COMPUTED_VALUE"""),"？-2016.3")</f>
        <v>？-2016.3</v>
      </c>
      <c r="L26" s="35"/>
      <c r="M26" s="35"/>
      <c r="N26" s="36">
        <f>IFERROR(__xludf.DUMMYFUNCTION("""COMPUTED_VALUE"""),0.59)</f>
        <v>0.59</v>
      </c>
      <c r="O26" s="35">
        <f>IFERROR(__xludf.DUMMYFUNCTION("""COMPUTED_VALUE"""),260.0)</f>
        <v>260</v>
      </c>
      <c r="P26" s="37">
        <f>IFERROR(__xludf.DUMMYFUNCTION("""COMPUTED_VALUE"""),3000.0)</f>
        <v>3000</v>
      </c>
      <c r="Q26" s="37">
        <f>IFERROR(__xludf.DUMMYFUNCTION("""COMPUTED_VALUE"""),1600.0)</f>
        <v>1600</v>
      </c>
      <c r="R26" s="37"/>
      <c r="S26" s="38">
        <f>IFERROR(__xludf.DUMMYFUNCTION("""COMPUTED_VALUE"""),45002.0)</f>
        <v>45002</v>
      </c>
      <c r="T26" s="35"/>
      <c r="U26" s="35"/>
      <c r="V26" s="35"/>
      <c r="W26" s="35"/>
      <c r="X26" s="35"/>
      <c r="Y26" s="35"/>
      <c r="Z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IFERROR(__xludf.DUMMYFUNCTION("""COMPUTED_VALUE"""),"ベンチャー")</f>
        <v>ベンチャー</v>
      </c>
      <c r="C27" s="35" t="str">
        <f>IFERROR(__xludf.DUMMYFUNCTION("""COMPUTED_VALUE"""),"ベンチャー")</f>
        <v>ベンチャー</v>
      </c>
      <c r="D27" s="35"/>
      <c r="E27" s="35" t="str">
        <f>IFERROR(__xludf.DUMMYFUNCTION("""COMPUTED_VALUE"""),"シングルカスクブレンデッド")</f>
        <v>シングルカスクブレンデッド</v>
      </c>
      <c r="F27" s="35" t="str">
        <f>IFERROR(__xludf.DUMMYFUNCTION("""COMPUTED_VALUE"""),"#4994")</f>
        <v>#4994</v>
      </c>
      <c r="G27" s="35" t="str">
        <f>IFERROR(__xludf.DUMMYFUNCTION("""COMPUTED_VALUE"""),"イチローズモルト&amp;グレーン")</f>
        <v>イチローズモルト&amp;グレーン</v>
      </c>
      <c r="H27" s="35" t="str">
        <f>IFERROR(__xludf.DUMMYFUNCTION("""COMPUTED_VALUE"""),"for Bar Show 2020")</f>
        <v>for Bar Show 2020</v>
      </c>
      <c r="I27" s="35"/>
      <c r="J27" s="34" t="str">
        <f>IFERROR(__xludf.DUMMYFUNCTION("""COMPUTED_VALUE"""),"バーボン樽")</f>
        <v>バーボン樽</v>
      </c>
      <c r="K27" s="34" t="str">
        <f>IFERROR(__xludf.DUMMYFUNCTION("""COMPUTED_VALUE"""),"?-2016.3")</f>
        <v>?-2016.3</v>
      </c>
      <c r="L27" s="35"/>
      <c r="M27" s="35"/>
      <c r="N27" s="36"/>
      <c r="O27" s="35"/>
      <c r="P27" s="37">
        <f>IFERROR(__xludf.DUMMYFUNCTION("""COMPUTED_VALUE"""),3000.0)</f>
        <v>3000</v>
      </c>
      <c r="Q27" s="37">
        <f>IFERROR(__xludf.DUMMYFUNCTION("""COMPUTED_VALUE"""),1600.0)</f>
        <v>1600</v>
      </c>
      <c r="R27" s="37"/>
      <c r="S27" s="38">
        <f>IFERROR(__xludf.DUMMYFUNCTION("""COMPUTED_VALUE"""),44999.0)</f>
        <v>44999</v>
      </c>
      <c r="T27" s="35"/>
      <c r="U27" s="35"/>
      <c r="V27" s="35"/>
      <c r="W27" s="35"/>
      <c r="X27" s="35"/>
      <c r="Y27" s="35"/>
      <c r="Z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IFERROR(__xludf.DUMMYFUNCTION("""COMPUTED_VALUE"""),"マルス")</f>
        <v>マルス</v>
      </c>
      <c r="C28" s="35" t="str">
        <f>IFERROR(__xludf.DUMMYFUNCTION("""COMPUTED_VALUE"""),"ブラックアダー")</f>
        <v>ブラックアダー</v>
      </c>
      <c r="D28" s="35" t="str">
        <f>IFERROR(__xludf.DUMMYFUNCTION("""COMPUTED_VALUE"""),"駒ヶ岳")</f>
        <v>駒ヶ岳</v>
      </c>
      <c r="E28" s="35" t="str">
        <f>IFERROR(__xludf.DUMMYFUNCTION("""COMPUTED_VALUE"""),"シングルカスク")</f>
        <v>シングルカスク</v>
      </c>
      <c r="F28" s="35" t="str">
        <f>IFERROR(__xludf.DUMMYFUNCTION("""COMPUTED_VALUE"""),"#1647")</f>
        <v>#1647</v>
      </c>
      <c r="G28" s="35" t="str">
        <f>IFERROR(__xludf.DUMMYFUNCTION("""COMPUTED_VALUE"""),"ブラックアダー マルス 3年")</f>
        <v>ブラックアダー マルス 3年</v>
      </c>
      <c r="H28" s="35"/>
      <c r="I28" s="35"/>
      <c r="J28" s="34"/>
      <c r="K28" s="34"/>
      <c r="L28" s="35"/>
      <c r="M28" s="35"/>
      <c r="N28" s="36"/>
      <c r="O28" s="35"/>
      <c r="P28" s="37">
        <f>IFERROR(__xludf.DUMMYFUNCTION("""COMPUTED_VALUE"""),3000.0)</f>
        <v>3000</v>
      </c>
      <c r="Q28" s="37">
        <f>IFERROR(__xludf.DUMMYFUNCTION("""COMPUTED_VALUE"""),1600.0)</f>
        <v>1600</v>
      </c>
      <c r="R28" s="37"/>
      <c r="S28" s="38">
        <f>IFERROR(__xludf.DUMMYFUNCTION("""COMPUTED_VALUE"""),44936.0)</f>
        <v>44936</v>
      </c>
      <c r="T28" s="35"/>
      <c r="U28" s="35"/>
      <c r="V28" s="35"/>
      <c r="W28" s="35"/>
      <c r="X28" s="35"/>
      <c r="Y28" s="35"/>
      <c r="Z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IFERROR(__xludf.DUMMYFUNCTION("""COMPUTED_VALUE"""),"マルス")</f>
        <v>マルス</v>
      </c>
      <c r="C29" s="39" t="str">
        <f>IFERROR(__xludf.DUMMYFUNCTION("""COMPUTED_VALUE"""),"マルス")</f>
        <v>マルス</v>
      </c>
      <c r="D29" s="39" t="str">
        <f>IFERROR(__xludf.DUMMYFUNCTION("""COMPUTED_VALUE"""),"駒ヶ岳")</f>
        <v>駒ヶ岳</v>
      </c>
      <c r="E29" s="35" t="str">
        <f>IFERROR(__xludf.DUMMYFUNCTION("""COMPUTED_VALUE"""),"シングルカスク")</f>
        <v>シングルカスク</v>
      </c>
      <c r="F29" s="35" t="str">
        <f>IFERROR(__xludf.DUMMYFUNCTION("""COMPUTED_VALUE"""),"#3480")</f>
        <v>#3480</v>
      </c>
      <c r="G29" s="35" t="str">
        <f>IFERROR(__xludf.DUMMYFUNCTION("""COMPUTED_VALUE"""),"マルス モルトギャラリー")</f>
        <v>マルス モルトギャラリー</v>
      </c>
      <c r="H29" s="35" t="str">
        <f>IFERROR(__xludf.DUMMYFUNCTION("""COMPUTED_VALUE"""),"蒸溜所限定")</f>
        <v>蒸溜所限定</v>
      </c>
      <c r="I29" s="35"/>
      <c r="J29" s="34"/>
      <c r="K29" s="34"/>
      <c r="L29" s="35"/>
      <c r="M29" s="35"/>
      <c r="N29" s="36"/>
      <c r="O29" s="35"/>
      <c r="P29" s="37">
        <f>IFERROR(__xludf.DUMMYFUNCTION("""COMPUTED_VALUE"""),1800.0)</f>
        <v>1800</v>
      </c>
      <c r="Q29" s="37">
        <f>IFERROR(__xludf.DUMMYFUNCTION("""COMPUTED_VALUE"""),1000.0)</f>
        <v>1000</v>
      </c>
      <c r="R29" s="37"/>
      <c r="S29" s="38"/>
      <c r="T29" s="35"/>
      <c r="U29" s="35"/>
      <c r="V29" s="35"/>
      <c r="W29" s="35"/>
      <c r="X29" s="35"/>
      <c r="Y29" s="35"/>
      <c r="Z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IFERROR(__xludf.DUMMYFUNCTION("""COMPUTED_VALUE"""),"マルス")</f>
        <v>マルス</v>
      </c>
      <c r="C30" s="35" t="str">
        <f>IFERROR(__xludf.DUMMYFUNCTION("""COMPUTED_VALUE"""),"マルス")</f>
        <v>マルス</v>
      </c>
      <c r="D30" s="39" t="str">
        <f>IFERROR(__xludf.DUMMYFUNCTION("""COMPUTED_VALUE"""),"駒ヶ岳")</f>
        <v>駒ヶ岳</v>
      </c>
      <c r="E30" s="35" t="str">
        <f>IFERROR(__xludf.DUMMYFUNCTION("""COMPUTED_VALUE"""),"シングルカスク")</f>
        <v>シングルカスク</v>
      </c>
      <c r="F30" s="35" t="str">
        <f>IFERROR(__xludf.DUMMYFUNCTION("""COMPUTED_VALUE"""),"#5242")</f>
        <v>#5242</v>
      </c>
      <c r="G30" s="35" t="str">
        <f>IFERROR(__xludf.DUMMYFUNCTION("""COMPUTED_VALUE"""),"マルス モルトギャラリー")</f>
        <v>マルス モルトギャラリー</v>
      </c>
      <c r="H30" s="35" t="str">
        <f>IFERROR(__xludf.DUMMYFUNCTION("""COMPUTED_VALUE"""),"蒸溜所限定")</f>
        <v>蒸溜所限定</v>
      </c>
      <c r="I30" s="35"/>
      <c r="J30" s="34"/>
      <c r="K30" s="34"/>
      <c r="L30" s="35"/>
      <c r="M30" s="35"/>
      <c r="N30" s="36"/>
      <c r="O30" s="35"/>
      <c r="P30" s="37">
        <f>IFERROR(__xludf.DUMMYFUNCTION("""COMPUTED_VALUE"""),1800.0)</f>
        <v>1800</v>
      </c>
      <c r="Q30" s="37">
        <f>IFERROR(__xludf.DUMMYFUNCTION("""COMPUTED_VALUE"""),1000.0)</f>
        <v>1000</v>
      </c>
      <c r="R30" s="37"/>
      <c r="S30" s="38"/>
      <c r="T30" s="35"/>
      <c r="U30" s="35"/>
      <c r="V30" s="35"/>
      <c r="W30" s="35"/>
      <c r="X30" s="35"/>
      <c r="Y30" s="35"/>
      <c r="Z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IFERROR(__xludf.DUMMYFUNCTION("""COMPUTED_VALUE"""),"マルス")</f>
        <v>マルス</v>
      </c>
      <c r="C31" s="35" t="str">
        <f>IFERROR(__xludf.DUMMYFUNCTION("""COMPUTED_VALUE"""),"マルス")</f>
        <v>マルス</v>
      </c>
      <c r="D31" s="39"/>
      <c r="E31" s="35" t="str">
        <f>IFERROR(__xludf.DUMMYFUNCTION("""COMPUTED_VALUE"""),"シングルカスク")</f>
        <v>シングルカスク</v>
      </c>
      <c r="F31" s="35" t="str">
        <f>IFERROR(__xludf.DUMMYFUNCTION("""COMPUTED_VALUE"""),"#5111")</f>
        <v>#5111</v>
      </c>
      <c r="G31" s="35" t="str">
        <f>IFERROR(__xludf.DUMMYFUNCTION("""COMPUTED_VALUE"""),"マルスモルト ル・パピヨン第2弾 アオスジアゲハ")</f>
        <v>マルスモルト ル・パピヨン第2弾 アオスジアゲハ</v>
      </c>
      <c r="H31" s="35" t="str">
        <f>IFERROR(__xludf.DUMMYFUNCTION("""COMPUTED_VALUE"""),"ル・パピヨンシリーズ")</f>
        <v>ル・パピヨンシリーズ</v>
      </c>
      <c r="I31" s="35"/>
      <c r="J31" s="34"/>
      <c r="K31" s="34"/>
      <c r="L31" s="35"/>
      <c r="M31" s="35"/>
      <c r="N31" s="36"/>
      <c r="O31" s="35"/>
      <c r="P31" s="37">
        <f>IFERROR(__xludf.DUMMYFUNCTION("""COMPUTED_VALUE"""),2000.0)</f>
        <v>2000</v>
      </c>
      <c r="Q31" s="37">
        <f>IFERROR(__xludf.DUMMYFUNCTION("""COMPUTED_VALUE"""),1100.0)</f>
        <v>1100</v>
      </c>
      <c r="R31" s="37"/>
      <c r="S31" s="38">
        <f>IFERROR(__xludf.DUMMYFUNCTION("""COMPUTED_VALUE"""),45045.0)</f>
        <v>45045</v>
      </c>
      <c r="T31" s="35"/>
      <c r="U31" s="35"/>
      <c r="V31" s="35"/>
      <c r="W31" s="35"/>
      <c r="X31" s="35"/>
      <c r="Y31" s="35"/>
      <c r="Z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IFERROR(__xludf.DUMMYFUNCTION("""COMPUTED_VALUE"""),"マルス")</f>
        <v>マルス</v>
      </c>
      <c r="C32" s="35" t="str">
        <f>IFERROR(__xludf.DUMMYFUNCTION("""COMPUTED_VALUE"""),"マルス")</f>
        <v>マルス</v>
      </c>
      <c r="D32" s="39"/>
      <c r="E32" s="35" t="str">
        <f>IFERROR(__xludf.DUMMYFUNCTION("""COMPUTED_VALUE"""),"シングルカスク")</f>
        <v>シングルカスク</v>
      </c>
      <c r="F32" s="35" t="str">
        <f>IFERROR(__xludf.DUMMYFUNCTION("""COMPUTED_VALUE"""),"#1860")</f>
        <v>#1860</v>
      </c>
      <c r="G32" s="35" t="str">
        <f>IFERROR(__xludf.DUMMYFUNCTION("""COMPUTED_VALUE"""),"マルスモルト ル・パピヨン第3弾 ミヤマシロチョウ")</f>
        <v>マルスモルト ル・パピヨン第3弾 ミヤマシロチョウ</v>
      </c>
      <c r="H32" s="35" t="str">
        <f>IFERROR(__xludf.DUMMYFUNCTION("""COMPUTED_VALUE"""),"ル・パピヨンシリーズ")</f>
        <v>ル・パピヨンシリーズ</v>
      </c>
      <c r="I32" s="35"/>
      <c r="J32" s="34"/>
      <c r="K32" s="34"/>
      <c r="L32" s="35"/>
      <c r="M32" s="35"/>
      <c r="N32" s="36"/>
      <c r="O32" s="35"/>
      <c r="P32" s="37">
        <f>IFERROR(__xludf.DUMMYFUNCTION("""COMPUTED_VALUE"""),2000.0)</f>
        <v>2000</v>
      </c>
      <c r="Q32" s="37">
        <f>IFERROR(__xludf.DUMMYFUNCTION("""COMPUTED_VALUE"""),1100.0)</f>
        <v>1100</v>
      </c>
      <c r="R32" s="37"/>
      <c r="S32" s="38">
        <f>IFERROR(__xludf.DUMMYFUNCTION("""COMPUTED_VALUE"""),45043.0)</f>
        <v>45043</v>
      </c>
      <c r="T32" s="35"/>
      <c r="U32" s="35"/>
      <c r="V32" s="35"/>
      <c r="W32" s="35"/>
      <c r="X32" s="35"/>
      <c r="Y32" s="35"/>
      <c r="Z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IFERROR(__xludf.DUMMYFUNCTION("""COMPUTED_VALUE"""),"マルス")</f>
        <v>マルス</v>
      </c>
      <c r="C33" s="35" t="str">
        <f>IFERROR(__xludf.DUMMYFUNCTION("""COMPUTED_VALUE"""),"マルス")</f>
        <v>マルス</v>
      </c>
      <c r="D33" s="39"/>
      <c r="E33" s="35" t="str">
        <f>IFERROR(__xludf.DUMMYFUNCTION("""COMPUTED_VALUE"""),"シングルカスク")</f>
        <v>シングルカスク</v>
      </c>
      <c r="F33" s="35" t="str">
        <f>IFERROR(__xludf.DUMMYFUNCTION("""COMPUTED_VALUE"""),"#2008")</f>
        <v>#2008</v>
      </c>
      <c r="G33" s="35" t="str">
        <f>IFERROR(__xludf.DUMMYFUNCTION("""COMPUTED_VALUE"""),"マルスモルト ル・パピヨン第4弾 ツマベニチョウ")</f>
        <v>マルスモルト ル・パピヨン第4弾 ツマベニチョウ</v>
      </c>
      <c r="H33" s="35" t="str">
        <f>IFERROR(__xludf.DUMMYFUNCTION("""COMPUTED_VALUE"""),"ル・パピヨンシリーズ")</f>
        <v>ル・パピヨンシリーズ</v>
      </c>
      <c r="I33" s="35"/>
      <c r="J33" s="34"/>
      <c r="K33" s="34"/>
      <c r="L33" s="35"/>
      <c r="M33" s="35"/>
      <c r="N33" s="36"/>
      <c r="O33" s="35"/>
      <c r="P33" s="37">
        <f>IFERROR(__xludf.DUMMYFUNCTION("""COMPUTED_VALUE"""),2000.0)</f>
        <v>2000</v>
      </c>
      <c r="Q33" s="37">
        <f>IFERROR(__xludf.DUMMYFUNCTION("""COMPUTED_VALUE"""),1100.0)</f>
        <v>1100</v>
      </c>
      <c r="R33" s="37"/>
      <c r="S33" s="38">
        <f>IFERROR(__xludf.DUMMYFUNCTION("""COMPUTED_VALUE"""),45042.0)</f>
        <v>45042</v>
      </c>
      <c r="T33" s="35"/>
      <c r="U33" s="35"/>
      <c r="V33" s="35"/>
      <c r="W33" s="35"/>
      <c r="X33" s="35"/>
      <c r="Y33" s="35"/>
      <c r="Z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IFERROR(__xludf.DUMMYFUNCTION("""COMPUTED_VALUE"""),"マルス")</f>
        <v>マルス</v>
      </c>
      <c r="C34" s="35" t="str">
        <f>IFERROR(__xludf.DUMMYFUNCTION("""COMPUTED_VALUE"""),"マルス")</f>
        <v>マルス</v>
      </c>
      <c r="D34" s="35"/>
      <c r="E34" s="35" t="str">
        <f>IFERROR(__xludf.DUMMYFUNCTION("""COMPUTED_VALUE"""),"シングルカスク")</f>
        <v>シングルカスク</v>
      </c>
      <c r="F34" s="35" t="str">
        <f>IFERROR(__xludf.DUMMYFUNCTION("""COMPUTED_VALUE"""),"#1870")</f>
        <v>#1870</v>
      </c>
      <c r="G34" s="35" t="str">
        <f>IFERROR(__xludf.DUMMYFUNCTION("""COMPUTED_VALUE"""),"マルスモルト ル・パピヨン第5弾 ミヤマカラスアゲハ")</f>
        <v>マルスモルト ル・パピヨン第5弾 ミヤマカラスアゲハ</v>
      </c>
      <c r="H34" s="35" t="str">
        <f>IFERROR(__xludf.DUMMYFUNCTION("""COMPUTED_VALUE"""),"ル・パピヨンシリーズ")</f>
        <v>ル・パピヨンシリーズ</v>
      </c>
      <c r="I34" s="35"/>
      <c r="J34" s="34"/>
      <c r="K34" s="34"/>
      <c r="L34" s="35"/>
      <c r="M34" s="35"/>
      <c r="N34" s="36"/>
      <c r="O34" s="35"/>
      <c r="P34" s="37">
        <f>IFERROR(__xludf.DUMMYFUNCTION("""COMPUTED_VALUE"""),2000.0)</f>
        <v>2000</v>
      </c>
      <c r="Q34" s="37">
        <f>IFERROR(__xludf.DUMMYFUNCTION("""COMPUTED_VALUE"""),1100.0)</f>
        <v>1100</v>
      </c>
      <c r="R34" s="37"/>
      <c r="S34" s="38">
        <f>IFERROR(__xludf.DUMMYFUNCTION("""COMPUTED_VALUE"""),45040.0)</f>
        <v>45040</v>
      </c>
      <c r="T34" s="35"/>
      <c r="U34" s="35"/>
      <c r="V34" s="35"/>
      <c r="W34" s="35"/>
      <c r="X34" s="35"/>
      <c r="Y34" s="35"/>
      <c r="Z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IFERROR(__xludf.DUMMYFUNCTION("""COMPUTED_VALUE"""),"マルス")</f>
        <v>マルス</v>
      </c>
      <c r="C35" s="35" t="str">
        <f>IFERROR(__xludf.DUMMYFUNCTION("""COMPUTED_VALUE"""),"マルス")</f>
        <v>マルス</v>
      </c>
      <c r="D35" s="35"/>
      <c r="E35" s="35" t="str">
        <f>IFERROR(__xludf.DUMMYFUNCTION("""COMPUTED_VALUE"""),"シングルカスク")</f>
        <v>シングルカスク</v>
      </c>
      <c r="F35" s="35" t="str">
        <f>IFERROR(__xludf.DUMMYFUNCTION("""COMPUTED_VALUE"""),"#5152")</f>
        <v>#5152</v>
      </c>
      <c r="G35" s="35" t="str">
        <f>IFERROR(__xludf.DUMMYFUNCTION("""COMPUTED_VALUE"""),"マルスモルト ル・パピヨン第6弾 イシガケチョウ")</f>
        <v>マルスモルト ル・パピヨン第6弾 イシガケチョウ</v>
      </c>
      <c r="H35" s="35" t="str">
        <f>IFERROR(__xludf.DUMMYFUNCTION("""COMPUTED_VALUE"""),"ル・パピヨンシリーズ")</f>
        <v>ル・パピヨンシリーズ</v>
      </c>
      <c r="I35" s="35"/>
      <c r="J35" s="34"/>
      <c r="K35" s="34"/>
      <c r="L35" s="35"/>
      <c r="M35" s="35"/>
      <c r="N35" s="36"/>
      <c r="O35" s="35"/>
      <c r="P35" s="37">
        <f>IFERROR(__xludf.DUMMYFUNCTION("""COMPUTED_VALUE"""),2000.0)</f>
        <v>2000</v>
      </c>
      <c r="Q35" s="37">
        <f>IFERROR(__xludf.DUMMYFUNCTION("""COMPUTED_VALUE"""),1100.0)</f>
        <v>1100</v>
      </c>
      <c r="R35" s="37"/>
      <c r="S35" s="38">
        <f>IFERROR(__xludf.DUMMYFUNCTION("""COMPUTED_VALUE"""),45038.0)</f>
        <v>45038</v>
      </c>
      <c r="T35" s="35"/>
      <c r="U35" s="35"/>
      <c r="V35" s="35"/>
      <c r="W35" s="35"/>
      <c r="X35" s="35"/>
      <c r="Y35" s="35"/>
      <c r="Z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IFERROR(__xludf.DUMMYFUNCTION("""COMPUTED_VALUE"""),"マルス")</f>
        <v>マルス</v>
      </c>
      <c r="C36" s="35" t="str">
        <f>IFERROR(__xludf.DUMMYFUNCTION("""COMPUTED_VALUE"""),"マルス")</f>
        <v>マルス</v>
      </c>
      <c r="D36" s="35"/>
      <c r="E36" s="35" t="str">
        <f>IFERROR(__xludf.DUMMYFUNCTION("""COMPUTED_VALUE"""),"シングルカスク")</f>
        <v>シングルカスク</v>
      </c>
      <c r="F36" s="35" t="str">
        <f>IFERROR(__xludf.DUMMYFUNCTION("""COMPUTED_VALUE"""),"#1698")</f>
        <v>#1698</v>
      </c>
      <c r="G36" s="35" t="str">
        <f>IFERROR(__xludf.DUMMYFUNCTION("""COMPUTED_VALUE"""),"マルスモルト ル・パピヨン第7弾 ギフチョウ")</f>
        <v>マルスモルト ル・パピヨン第7弾 ギフチョウ</v>
      </c>
      <c r="H36" s="35" t="str">
        <f>IFERROR(__xludf.DUMMYFUNCTION("""COMPUTED_VALUE"""),"ル・パピヨンシリーズ")</f>
        <v>ル・パピヨンシリーズ</v>
      </c>
      <c r="I36" s="35"/>
      <c r="J36" s="34"/>
      <c r="K36" s="34"/>
      <c r="L36" s="35"/>
      <c r="M36" s="35"/>
      <c r="N36" s="36"/>
      <c r="O36" s="35"/>
      <c r="P36" s="37">
        <f>IFERROR(__xludf.DUMMYFUNCTION("""COMPUTED_VALUE"""),2200.0)</f>
        <v>2200</v>
      </c>
      <c r="Q36" s="37">
        <f>IFERROR(__xludf.DUMMYFUNCTION("""COMPUTED_VALUE"""),1200.0)</f>
        <v>1200</v>
      </c>
      <c r="R36" s="37"/>
      <c r="S36" s="38">
        <f>IFERROR(__xludf.DUMMYFUNCTION("""COMPUTED_VALUE"""),45036.0)</f>
        <v>45036</v>
      </c>
      <c r="T36" s="35"/>
      <c r="U36" s="35"/>
      <c r="V36" s="35"/>
      <c r="W36" s="35"/>
      <c r="X36" s="35"/>
      <c r="Y36" s="35"/>
      <c r="Z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IFERROR(__xludf.DUMMYFUNCTION("""COMPUTED_VALUE"""),"マルス")</f>
        <v>マルス</v>
      </c>
      <c r="C37" s="35" t="str">
        <f>IFERROR(__xludf.DUMMYFUNCTION("""COMPUTED_VALUE"""),"マルス")</f>
        <v>マルス</v>
      </c>
      <c r="D37" s="35"/>
      <c r="E37" s="35" t="str">
        <f>IFERROR(__xludf.DUMMYFUNCTION("""COMPUTED_VALUE"""),"シングルカスク")</f>
        <v>シングルカスク</v>
      </c>
      <c r="F37" s="35" t="str">
        <f>IFERROR(__xludf.DUMMYFUNCTION("""COMPUTED_VALUE"""),"#3397")</f>
        <v>#3397</v>
      </c>
      <c r="G37" s="35" t="str">
        <f>IFERROR(__xludf.DUMMYFUNCTION("""COMPUTED_VALUE"""),"マルスモルト ル・パピヨン第9弾 クモマツマキチョウ")</f>
        <v>マルスモルト ル・パピヨン第9弾 クモマツマキチョウ</v>
      </c>
      <c r="H37" s="35" t="str">
        <f>IFERROR(__xludf.DUMMYFUNCTION("""COMPUTED_VALUE"""),"ル・パピヨンシリーズ")</f>
        <v>ル・パピヨンシリーズ</v>
      </c>
      <c r="I37" s="35"/>
      <c r="J37" s="34"/>
      <c r="K37" s="34"/>
      <c r="L37" s="35"/>
      <c r="M37" s="35"/>
      <c r="N37" s="36"/>
      <c r="O37" s="35"/>
      <c r="P37" s="37">
        <f>IFERROR(__xludf.DUMMYFUNCTION("""COMPUTED_VALUE"""),2000.0)</f>
        <v>2000</v>
      </c>
      <c r="Q37" s="37">
        <f>IFERROR(__xludf.DUMMYFUNCTION("""COMPUTED_VALUE"""),1100.0)</f>
        <v>1100</v>
      </c>
      <c r="R37" s="37"/>
      <c r="S37" s="38">
        <f>IFERROR(__xludf.DUMMYFUNCTION("""COMPUTED_VALUE"""),45033.0)</f>
        <v>45033</v>
      </c>
      <c r="T37" s="35"/>
      <c r="U37" s="35"/>
      <c r="V37" s="35"/>
      <c r="W37" s="35"/>
      <c r="X37" s="35"/>
      <c r="Y37" s="35"/>
      <c r="Z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IFERROR(__xludf.DUMMYFUNCTION("""COMPUTED_VALUE"""),"マルス")</f>
        <v>マルス</v>
      </c>
      <c r="C38" s="35" t="str">
        <f>IFERROR(__xludf.DUMMYFUNCTION("""COMPUTED_VALUE"""),"マルス")</f>
        <v>マルス</v>
      </c>
      <c r="D38" s="35"/>
      <c r="E38" s="35" t="str">
        <f>IFERROR(__xludf.DUMMYFUNCTION("""COMPUTED_VALUE"""),"シングルカスク")</f>
        <v>シングルカスク</v>
      </c>
      <c r="F38" s="35" t="str">
        <f>IFERROR(__xludf.DUMMYFUNCTION("""COMPUTED_VALUE"""),"#3356")</f>
        <v>#3356</v>
      </c>
      <c r="G38" s="35" t="str">
        <f>IFERROR(__xludf.DUMMYFUNCTION("""COMPUTED_VALUE"""),"マルスモルト ル・パピヨン第10弾 クジャクチョウ")</f>
        <v>マルスモルト ル・パピヨン第10弾 クジャクチョウ</v>
      </c>
      <c r="H38" s="35" t="str">
        <f>IFERROR(__xludf.DUMMYFUNCTION("""COMPUTED_VALUE"""),"ル・パピヨンシリーズ")</f>
        <v>ル・パピヨンシリーズ</v>
      </c>
      <c r="I38" s="35"/>
      <c r="J38" s="34"/>
      <c r="K38" s="34"/>
      <c r="L38" s="35"/>
      <c r="M38" s="35"/>
      <c r="N38" s="36"/>
      <c r="O38" s="35"/>
      <c r="P38" s="37">
        <f>IFERROR(__xludf.DUMMYFUNCTION("""COMPUTED_VALUE"""),2000.0)</f>
        <v>2000</v>
      </c>
      <c r="Q38" s="37">
        <f>IFERROR(__xludf.DUMMYFUNCTION("""COMPUTED_VALUE"""),1100.0)</f>
        <v>1100</v>
      </c>
      <c r="R38" s="37"/>
      <c r="S38" s="38">
        <f>IFERROR(__xludf.DUMMYFUNCTION("""COMPUTED_VALUE"""),45030.0)</f>
        <v>45030</v>
      </c>
      <c r="T38" s="35"/>
      <c r="U38" s="35"/>
      <c r="V38" s="35"/>
      <c r="W38" s="35"/>
      <c r="X38" s="35"/>
      <c r="Y38" s="35"/>
      <c r="Z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IFERROR(__xludf.DUMMYFUNCTION("""COMPUTED_VALUE"""),"マルス")</f>
        <v>マルス</v>
      </c>
      <c r="C39" s="35" t="str">
        <f>IFERROR(__xludf.DUMMYFUNCTION("""COMPUTED_VALUE"""),"マルス")</f>
        <v>マルス</v>
      </c>
      <c r="D39" s="35"/>
      <c r="E39" s="35" t="str">
        <f>IFERROR(__xludf.DUMMYFUNCTION("""COMPUTED_VALUE"""),"シングルカスク")</f>
        <v>シングルカスク</v>
      </c>
      <c r="F39" s="35" t="str">
        <f>IFERROR(__xludf.DUMMYFUNCTION("""COMPUTED_VALUE"""),"#1705")</f>
        <v>#1705</v>
      </c>
      <c r="G39" s="35" t="str">
        <f>IFERROR(__xludf.DUMMYFUNCTION("""COMPUTED_VALUE"""),"マルスモルト ル・パピヨン第13弾 アイノミドリシジミ")</f>
        <v>マルスモルト ル・パピヨン第13弾 アイノミドリシジミ</v>
      </c>
      <c r="H39" s="35" t="str">
        <f>IFERROR(__xludf.DUMMYFUNCTION("""COMPUTED_VALUE"""),"ル・パピヨンシリーズ")</f>
        <v>ル・パピヨンシリーズ</v>
      </c>
      <c r="I39" s="35"/>
      <c r="J39" s="34"/>
      <c r="K39" s="34"/>
      <c r="L39" s="35"/>
      <c r="M39" s="35"/>
      <c r="N39" s="36"/>
      <c r="O39" s="35"/>
      <c r="P39" s="37">
        <f>IFERROR(__xludf.DUMMYFUNCTION("""COMPUTED_VALUE"""),2200.0)</f>
        <v>2200</v>
      </c>
      <c r="Q39" s="37">
        <f>IFERROR(__xludf.DUMMYFUNCTION("""COMPUTED_VALUE"""),1200.0)</f>
        <v>1200</v>
      </c>
      <c r="R39" s="37"/>
      <c r="S39" s="38">
        <f>IFERROR(__xludf.DUMMYFUNCTION("""COMPUTED_VALUE"""),45022.0)</f>
        <v>45022</v>
      </c>
      <c r="T39" s="35"/>
      <c r="U39" s="35"/>
      <c r="V39" s="35"/>
      <c r="W39" s="35"/>
      <c r="X39" s="35"/>
      <c r="Y39" s="35"/>
      <c r="Z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IFERROR(__xludf.DUMMYFUNCTION("""COMPUTED_VALUE"""),"マルス")</f>
        <v>マルス</v>
      </c>
      <c r="C40" s="35" t="str">
        <f>IFERROR(__xludf.DUMMYFUNCTION("""COMPUTED_VALUE"""),"マルス")</f>
        <v>マルス</v>
      </c>
      <c r="D40" s="35"/>
      <c r="E40" s="35" t="str">
        <f>IFERROR(__xludf.DUMMYFUNCTION("""COMPUTED_VALUE"""),"シングルカスク")</f>
        <v>シングルカスク</v>
      </c>
      <c r="F40" s="35" t="str">
        <f>IFERROR(__xludf.DUMMYFUNCTION("""COMPUTED_VALUE"""),"#2029")</f>
        <v>#2029</v>
      </c>
      <c r="G40" s="35" t="str">
        <f>IFERROR(__xludf.DUMMYFUNCTION("""COMPUTED_VALUE"""),"マルスモルト ル・パピヨン第16弾 ナガサキアゲハ")</f>
        <v>マルスモルト ル・パピヨン第16弾 ナガサキアゲハ</v>
      </c>
      <c r="H40" s="35" t="str">
        <f>IFERROR(__xludf.DUMMYFUNCTION("""COMPUTED_VALUE"""),"ル・パピヨンシリーズ")</f>
        <v>ル・パピヨンシリーズ</v>
      </c>
      <c r="I40" s="35"/>
      <c r="J40" s="34"/>
      <c r="K40" s="34"/>
      <c r="L40" s="35"/>
      <c r="M40" s="35"/>
      <c r="N40" s="36"/>
      <c r="O40" s="35"/>
      <c r="P40" s="37">
        <f>IFERROR(__xludf.DUMMYFUNCTION("""COMPUTED_VALUE"""),2200.0)</f>
        <v>2200</v>
      </c>
      <c r="Q40" s="37">
        <f>IFERROR(__xludf.DUMMYFUNCTION("""COMPUTED_VALUE"""),1200.0)</f>
        <v>1200</v>
      </c>
      <c r="R40" s="37"/>
      <c r="S40" s="38">
        <f>IFERROR(__xludf.DUMMYFUNCTION("""COMPUTED_VALUE"""),45500.0)</f>
        <v>45500</v>
      </c>
      <c r="T40" s="35"/>
      <c r="U40" s="35"/>
      <c r="V40" s="35"/>
      <c r="W40" s="35"/>
      <c r="X40" s="35"/>
      <c r="Y40" s="35"/>
      <c r="Z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IFERROR(__xludf.DUMMYFUNCTION("""COMPUTED_VALUE"""),"マルス")</f>
        <v>マルス</v>
      </c>
      <c r="C41" s="35" t="str">
        <f>IFERROR(__xludf.DUMMYFUNCTION("""COMPUTED_VALUE"""),"マルス")</f>
        <v>マルス</v>
      </c>
      <c r="D41" s="35" t="str">
        <f>IFERROR(__xludf.DUMMYFUNCTION("""COMPUTED_VALUE"""),"駒ヶ岳")</f>
        <v>駒ヶ岳</v>
      </c>
      <c r="E41" s="35" t="str">
        <f>IFERROR(__xludf.DUMMYFUNCTION("""COMPUTED_VALUE"""),"シングルカスク")</f>
        <v>シングルカスク</v>
      </c>
      <c r="F41" s="35" t="str">
        <f>IFERROR(__xludf.DUMMYFUNCTION("""COMPUTED_VALUE"""),"#902")</f>
        <v>#902</v>
      </c>
      <c r="G41" s="35" t="str">
        <f>IFERROR(__xludf.DUMMYFUNCTION("""COMPUTED_VALUE"""),"駒ヶ岳")</f>
        <v>駒ヶ岳</v>
      </c>
      <c r="H41" s="35" t="str">
        <f>IFERROR(__xludf.DUMMYFUNCTION("""COMPUTED_VALUE"""),"for 成城石井")</f>
        <v>for 成城石井</v>
      </c>
      <c r="I41" s="35"/>
      <c r="J41" s="34"/>
      <c r="K41" s="34"/>
      <c r="L41" s="35"/>
      <c r="M41" s="35"/>
      <c r="N41" s="36"/>
      <c r="O41" s="35"/>
      <c r="P41" s="37">
        <f>IFERROR(__xludf.DUMMYFUNCTION("""COMPUTED_VALUE"""),5000.0)</f>
        <v>5000</v>
      </c>
      <c r="Q41" s="37">
        <f>IFERROR(__xludf.DUMMYFUNCTION("""COMPUTED_VALUE"""),2800.0)</f>
        <v>2800</v>
      </c>
      <c r="R41" s="37"/>
      <c r="S41" s="38">
        <f>IFERROR(__xludf.DUMMYFUNCTION("""COMPUTED_VALUE"""),44972.0)</f>
        <v>44972</v>
      </c>
      <c r="T41" s="35"/>
      <c r="U41" s="35"/>
      <c r="V41" s="35"/>
      <c r="W41" s="35"/>
      <c r="X41" s="35"/>
      <c r="Y41" s="35"/>
      <c r="Z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IFERROR(__xludf.DUMMYFUNCTION("""COMPUTED_VALUE"""),"マルス")</f>
        <v>マルス</v>
      </c>
      <c r="C42" s="35" t="str">
        <f>IFERROR(__xludf.DUMMYFUNCTION("""COMPUTED_VALUE"""),"マルス")</f>
        <v>マルス</v>
      </c>
      <c r="D42" s="35" t="str">
        <f>IFERROR(__xludf.DUMMYFUNCTION("""COMPUTED_VALUE"""),"駒ヶ岳")</f>
        <v>駒ヶ岳</v>
      </c>
      <c r="E42" s="35" t="str">
        <f>IFERROR(__xludf.DUMMYFUNCTION("""COMPUTED_VALUE"""),"シングルカスク")</f>
        <v>シングルカスク</v>
      </c>
      <c r="F42" s="35" t="str">
        <f>IFERROR(__xludf.DUMMYFUNCTION("""COMPUTED_VALUE"""),"#1436")</f>
        <v>#1436</v>
      </c>
      <c r="G42" s="35" t="str">
        <f>IFERROR(__xludf.DUMMYFUNCTION("""COMPUTED_VALUE"""),"駒ヶ岳 2012")</f>
        <v>駒ヶ岳 2012</v>
      </c>
      <c r="H42" s="35" t="str">
        <f>IFERROR(__xludf.DUMMYFUNCTION("""COMPUTED_VALUE"""),"for 三越伊勢丹")</f>
        <v>for 三越伊勢丹</v>
      </c>
      <c r="I42" s="35"/>
      <c r="J42" s="34"/>
      <c r="K42" s="34"/>
      <c r="L42" s="35"/>
      <c r="M42" s="35"/>
      <c r="N42" s="36"/>
      <c r="O42" s="35"/>
      <c r="P42" s="37">
        <f>IFERROR(__xludf.DUMMYFUNCTION("""COMPUTED_VALUE"""),3000.0)</f>
        <v>3000</v>
      </c>
      <c r="Q42" s="37">
        <f>IFERROR(__xludf.DUMMYFUNCTION("""COMPUTED_VALUE"""),1600.0)</f>
        <v>1600</v>
      </c>
      <c r="R42" s="37"/>
      <c r="S42" s="38"/>
      <c r="T42" s="35"/>
      <c r="U42" s="35"/>
      <c r="V42" s="35"/>
      <c r="W42" s="35"/>
      <c r="X42" s="35"/>
      <c r="Y42" s="35"/>
      <c r="Z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IFERROR(__xludf.DUMMYFUNCTION("""COMPUTED_VALUE"""),"マルス")</f>
        <v>マルス</v>
      </c>
      <c r="C43" s="35" t="str">
        <f>IFERROR(__xludf.DUMMYFUNCTION("""COMPUTED_VALUE"""),"マルス")</f>
        <v>マルス</v>
      </c>
      <c r="D43" s="35" t="str">
        <f>IFERROR(__xludf.DUMMYFUNCTION("""COMPUTED_VALUE"""),"駒ヶ岳")</f>
        <v>駒ヶ岳</v>
      </c>
      <c r="E43" s="35" t="str">
        <f>IFERROR(__xludf.DUMMYFUNCTION("""COMPUTED_VALUE"""),"シングルカスク")</f>
        <v>シングルカスク</v>
      </c>
      <c r="F43" s="35" t="str">
        <f>IFERROR(__xludf.DUMMYFUNCTION("""COMPUTED_VALUE"""),"#1493")</f>
        <v>#1493</v>
      </c>
      <c r="G43" s="35" t="str">
        <f>IFERROR(__xludf.DUMMYFUNCTION("""COMPUTED_VALUE"""),"駒ヶ岳 6年")</f>
        <v>駒ヶ岳 6年</v>
      </c>
      <c r="H43" s="35"/>
      <c r="I43" s="35"/>
      <c r="J43" s="34"/>
      <c r="K43" s="34"/>
      <c r="L43" s="35"/>
      <c r="M43" s="35"/>
      <c r="N43" s="36"/>
      <c r="O43" s="35"/>
      <c r="P43" s="37">
        <f>IFERROR(__xludf.DUMMYFUNCTION("""COMPUTED_VALUE"""),3500.0)</f>
        <v>3500</v>
      </c>
      <c r="Q43" s="37">
        <f>IFERROR(__xludf.DUMMYFUNCTION("""COMPUTED_VALUE"""),1900.0)</f>
        <v>1900</v>
      </c>
      <c r="R43" s="37"/>
      <c r="S43" s="38">
        <f>IFERROR(__xludf.DUMMYFUNCTION("""COMPUTED_VALUE"""),45203.0)</f>
        <v>45203</v>
      </c>
      <c r="T43" s="35"/>
      <c r="U43" s="35"/>
      <c r="V43" s="35"/>
      <c r="W43" s="35"/>
      <c r="X43" s="35"/>
      <c r="Y43" s="35"/>
      <c r="Z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IFERROR(__xludf.DUMMYFUNCTION("""COMPUTED_VALUE"""),"マルス")</f>
        <v>マルス</v>
      </c>
      <c r="C44" s="35" t="str">
        <f>IFERROR(__xludf.DUMMYFUNCTION("""COMPUTED_VALUE"""),"マルス")</f>
        <v>マルス</v>
      </c>
      <c r="D44" s="35" t="str">
        <f>IFERROR(__xludf.DUMMYFUNCTION("""COMPUTED_VALUE"""),"駒ヶ岳")</f>
        <v>駒ヶ岳</v>
      </c>
      <c r="E44" s="35" t="str">
        <f>IFERROR(__xludf.DUMMYFUNCTION("""COMPUTED_VALUE"""),"シングルカスク")</f>
        <v>シングルカスク</v>
      </c>
      <c r="F44" s="35" t="str">
        <f>IFERROR(__xludf.DUMMYFUNCTION("""COMPUTED_VALUE"""),"#1663")</f>
        <v>#1663</v>
      </c>
      <c r="G44" s="35" t="str">
        <f>IFERROR(__xludf.DUMMYFUNCTION("""COMPUTED_VALUE"""),"駒ヶ岳 7年")</f>
        <v>駒ヶ岳 7年</v>
      </c>
      <c r="H44" s="35"/>
      <c r="I44" s="35"/>
      <c r="J44" s="34"/>
      <c r="K44" s="34"/>
      <c r="L44" s="35"/>
      <c r="M44" s="35"/>
      <c r="N44" s="36"/>
      <c r="O44" s="35"/>
      <c r="P44" s="37">
        <f>IFERROR(__xludf.DUMMYFUNCTION("""COMPUTED_VALUE"""),3500.0)</f>
        <v>3500</v>
      </c>
      <c r="Q44" s="37">
        <f>IFERROR(__xludf.DUMMYFUNCTION("""COMPUTED_VALUE"""),1900.0)</f>
        <v>1900</v>
      </c>
      <c r="R44" s="37"/>
      <c r="S44" s="38">
        <f>IFERROR(__xludf.DUMMYFUNCTION("""COMPUTED_VALUE"""),45197.0)</f>
        <v>45197</v>
      </c>
      <c r="T44" s="35"/>
      <c r="U44" s="35"/>
      <c r="V44" s="35"/>
      <c r="W44" s="35"/>
      <c r="X44" s="35"/>
      <c r="Y44" s="35"/>
      <c r="Z44" s="35"/>
    </row>
    <row r="45" ht="15.75" customHeight="1">
      <c r="A45" s="35" t="str">
        <f>IFERROR(__xludf.DUMMYFUNCTION("""COMPUTED_VALUE"""),"JP")</f>
        <v>JP</v>
      </c>
      <c r="B45" s="39" t="str">
        <f>IFERROR(__xludf.DUMMYFUNCTION("""COMPUTED_VALUE"""),"マルス")</f>
        <v>マルス</v>
      </c>
      <c r="C45" s="35" t="str">
        <f>IFERROR(__xludf.DUMMYFUNCTION("""COMPUTED_VALUE"""),"マルス")</f>
        <v>マルス</v>
      </c>
      <c r="D45" s="35" t="str">
        <f>IFERROR(__xludf.DUMMYFUNCTION("""COMPUTED_VALUE"""),"駒ヶ岳")</f>
        <v>駒ヶ岳</v>
      </c>
      <c r="E45" s="35" t="str">
        <f>IFERROR(__xludf.DUMMYFUNCTION("""COMPUTED_VALUE"""),"シングルカスク")</f>
        <v>シングルカスク</v>
      </c>
      <c r="F45" s="35" t="str">
        <f>IFERROR(__xludf.DUMMYFUNCTION("""COMPUTED_VALUE"""),"#1704")</f>
        <v>#1704</v>
      </c>
      <c r="G45" s="35" t="str">
        <f>IFERROR(__xludf.DUMMYFUNCTION("""COMPUTED_VALUE"""),"駒ヶ岳 2013")</f>
        <v>駒ヶ岳 2013</v>
      </c>
      <c r="H45" s="35" t="str">
        <f>IFERROR(__xludf.DUMMYFUNCTION("""COMPUTED_VALUE"""),"for ePower")</f>
        <v>for ePower</v>
      </c>
      <c r="I45" s="35"/>
      <c r="J45" s="34"/>
      <c r="K45" s="34"/>
      <c r="L45" s="35"/>
      <c r="M45" s="35"/>
      <c r="N45" s="36"/>
      <c r="O45" s="35"/>
      <c r="P45" s="37">
        <f>IFERROR(__xludf.DUMMYFUNCTION("""COMPUTED_VALUE"""),3000.0)</f>
        <v>3000</v>
      </c>
      <c r="Q45" s="37">
        <f>IFERROR(__xludf.DUMMYFUNCTION("""COMPUTED_VALUE"""),1600.0)</f>
        <v>1600</v>
      </c>
      <c r="R45" s="37"/>
      <c r="S45" s="38"/>
      <c r="T45" s="35"/>
      <c r="U45" s="35"/>
      <c r="V45" s="35"/>
      <c r="W45" s="35"/>
      <c r="X45" s="35"/>
      <c r="Y45" s="35"/>
      <c r="Z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IFERROR(__xludf.DUMMYFUNCTION("""COMPUTED_VALUE"""),"マルス")</f>
        <v>マルス</v>
      </c>
      <c r="C46" s="35" t="str">
        <f>IFERROR(__xludf.DUMMYFUNCTION("""COMPUTED_VALUE"""),"マルス")</f>
        <v>マルス</v>
      </c>
      <c r="D46" s="35" t="str">
        <f>IFERROR(__xludf.DUMMYFUNCTION("""COMPUTED_VALUE"""),"駒ヶ岳")</f>
        <v>駒ヶ岳</v>
      </c>
      <c r="E46" s="35" t="str">
        <f>IFERROR(__xludf.DUMMYFUNCTION("""COMPUTED_VALUE"""),"シングルカスク")</f>
        <v>シングルカスク</v>
      </c>
      <c r="F46" s="35" t="str">
        <f>IFERROR(__xludf.DUMMYFUNCTION("""COMPUTED_VALUE"""),"#1706")</f>
        <v>#1706</v>
      </c>
      <c r="G46" s="35" t="str">
        <f>IFERROR(__xludf.DUMMYFUNCTION("""COMPUTED_VALUE"""),"駒ヶ岳")</f>
        <v>駒ヶ岳</v>
      </c>
      <c r="H46" s="35" t="str">
        <f>IFERROR(__xludf.DUMMYFUNCTION("""COMPUTED_VALUE"""),"for ウイスキートーク福岡2016")</f>
        <v>for ウイスキートーク福岡2016</v>
      </c>
      <c r="I46" s="35"/>
      <c r="J46" s="34"/>
      <c r="K46" s="34"/>
      <c r="L46" s="35"/>
      <c r="M46" s="35"/>
      <c r="N46" s="36"/>
      <c r="O46" s="35"/>
      <c r="P46" s="37">
        <f>IFERROR(__xludf.DUMMYFUNCTION("""COMPUTED_VALUE"""),3000.0)</f>
        <v>3000</v>
      </c>
      <c r="Q46" s="37">
        <f>IFERROR(__xludf.DUMMYFUNCTION("""COMPUTED_VALUE"""),1600.0)</f>
        <v>1600</v>
      </c>
      <c r="R46" s="37"/>
      <c r="S46" s="38">
        <f>IFERROR(__xludf.DUMMYFUNCTION("""COMPUTED_VALUE"""),44907.0)</f>
        <v>44907</v>
      </c>
      <c r="T46" s="35"/>
      <c r="U46" s="35"/>
      <c r="V46" s="35"/>
      <c r="W46" s="35"/>
      <c r="X46" s="35"/>
      <c r="Y46" s="35"/>
      <c r="Z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IFERROR(__xludf.DUMMYFUNCTION("""COMPUTED_VALUE"""),"マルス")</f>
        <v>マルス</v>
      </c>
      <c r="C47" s="35" t="str">
        <f>IFERROR(__xludf.DUMMYFUNCTION("""COMPUTED_VALUE"""),"マルス")</f>
        <v>マルス</v>
      </c>
      <c r="D47" s="35" t="str">
        <f>IFERROR(__xludf.DUMMYFUNCTION("""COMPUTED_VALUE"""),"駒ヶ岳")</f>
        <v>駒ヶ岳</v>
      </c>
      <c r="E47" s="35" t="str">
        <f>IFERROR(__xludf.DUMMYFUNCTION("""COMPUTED_VALUE"""),"シングルカスク")</f>
        <v>シングルカスク</v>
      </c>
      <c r="F47" s="35" t="str">
        <f>IFERROR(__xludf.DUMMYFUNCTION("""COMPUTED_VALUE"""),"#1753")</f>
        <v>#1753</v>
      </c>
      <c r="G47" s="35" t="str">
        <f>IFERROR(__xludf.DUMMYFUNCTION("""COMPUTED_VALUE"""),"駒ヶ岳 2014 信州バーテンダーズチョイス 鮮緑")</f>
        <v>駒ヶ岳 2014 信州バーテンダーズチョイス 鮮緑</v>
      </c>
      <c r="H47" s="35" t="str">
        <f>IFERROR(__xludf.DUMMYFUNCTION("""COMPUTED_VALUE"""),"for NBA長野支部")</f>
        <v>for NBA長野支部</v>
      </c>
      <c r="I47" s="35"/>
      <c r="J47" s="34"/>
      <c r="K47" s="34"/>
      <c r="L47" s="35"/>
      <c r="M47" s="35"/>
      <c r="N47" s="36"/>
      <c r="O47" s="35"/>
      <c r="P47" s="37">
        <f>IFERROR(__xludf.DUMMYFUNCTION("""COMPUTED_VALUE"""),3000.0)</f>
        <v>3000</v>
      </c>
      <c r="Q47" s="37">
        <f>IFERROR(__xludf.DUMMYFUNCTION("""COMPUTED_VALUE"""),1600.0)</f>
        <v>1600</v>
      </c>
      <c r="R47" s="37"/>
      <c r="S47" s="38">
        <f>IFERROR(__xludf.DUMMYFUNCTION("""COMPUTED_VALUE"""),45595.0)</f>
        <v>45595</v>
      </c>
      <c r="T47" s="35"/>
      <c r="U47" s="35"/>
      <c r="V47" s="35"/>
      <c r="W47" s="35"/>
      <c r="X47" s="35"/>
      <c r="Y47" s="35"/>
      <c r="Z47" s="35"/>
    </row>
    <row r="48" ht="15.75" customHeight="1">
      <c r="A48" s="35" t="str">
        <f>IFERROR(__xludf.DUMMYFUNCTION("""COMPUTED_VALUE"""),"JP")</f>
        <v>JP</v>
      </c>
      <c r="B48" s="40" t="str">
        <f>IFERROR(__xludf.DUMMYFUNCTION("""COMPUTED_VALUE"""),"マルス")</f>
        <v>マルス</v>
      </c>
      <c r="C48" s="35" t="str">
        <f>IFERROR(__xludf.DUMMYFUNCTION("""COMPUTED_VALUE"""),"マルス")</f>
        <v>マルス</v>
      </c>
      <c r="D48" s="35" t="str">
        <f>IFERROR(__xludf.DUMMYFUNCTION("""COMPUTED_VALUE"""),"駒ヶ岳")</f>
        <v>駒ヶ岳</v>
      </c>
      <c r="E48" s="35" t="str">
        <f>IFERROR(__xludf.DUMMYFUNCTION("""COMPUTED_VALUE"""),"シングルカスク")</f>
        <v>シングルカスク</v>
      </c>
      <c r="F48" s="35" t="str">
        <f>IFERROR(__xludf.DUMMYFUNCTION("""COMPUTED_VALUE"""),"#1834")</f>
        <v>#1834</v>
      </c>
      <c r="G48" s="35" t="str">
        <f>IFERROR(__xludf.DUMMYFUNCTION("""COMPUTED_VALUE"""),"駒ヶ岳 6年")</f>
        <v>駒ヶ岳 6年</v>
      </c>
      <c r="H48" s="35"/>
      <c r="I48" s="35"/>
      <c r="J48" s="34"/>
      <c r="K48" s="34"/>
      <c r="L48" s="35"/>
      <c r="M48" s="35"/>
      <c r="N48" s="36"/>
      <c r="O48" s="35"/>
      <c r="P48" s="37">
        <f>IFERROR(__xludf.DUMMYFUNCTION("""COMPUTED_VALUE"""),3500.0)</f>
        <v>3500</v>
      </c>
      <c r="Q48" s="37">
        <f>IFERROR(__xludf.DUMMYFUNCTION("""COMPUTED_VALUE"""),1900.0)</f>
        <v>1900</v>
      </c>
      <c r="R48" s="37"/>
      <c r="S48" s="38">
        <f>IFERROR(__xludf.DUMMYFUNCTION("""COMPUTED_VALUE"""),45202.0)</f>
        <v>45202</v>
      </c>
      <c r="T48" s="35"/>
      <c r="U48" s="35"/>
      <c r="V48" s="35"/>
      <c r="W48" s="35"/>
      <c r="X48" s="35"/>
      <c r="Y48" s="35"/>
      <c r="Z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IFERROR(__xludf.DUMMYFUNCTION("""COMPUTED_VALUE"""),"マルス")</f>
        <v>マルス</v>
      </c>
      <c r="C49" s="35" t="str">
        <f>IFERROR(__xludf.DUMMYFUNCTION("""COMPUTED_VALUE"""),"マルス")</f>
        <v>マルス</v>
      </c>
      <c r="D49" s="35" t="str">
        <f>IFERROR(__xludf.DUMMYFUNCTION("""COMPUTED_VALUE"""),"駒ヶ岳")</f>
        <v>駒ヶ岳</v>
      </c>
      <c r="E49" s="35" t="str">
        <f>IFERROR(__xludf.DUMMYFUNCTION("""COMPUTED_VALUE"""),"シングルカスク")</f>
        <v>シングルカスク</v>
      </c>
      <c r="F49" s="35" t="str">
        <f>IFERROR(__xludf.DUMMYFUNCTION("""COMPUTED_VALUE"""),"#1941")</f>
        <v>#1941</v>
      </c>
      <c r="G49" s="35" t="str">
        <f>IFERROR(__xludf.DUMMYFUNCTION("""COMPUTED_VALUE"""),"駒ヶ岳 2015")</f>
        <v>駒ヶ岳 2015</v>
      </c>
      <c r="H49" s="35" t="str">
        <f>IFERROR(__xludf.DUMMYFUNCTION("""COMPUTED_VALUE"""),"for WLN2019")</f>
        <v>for WLN2019</v>
      </c>
      <c r="I49" s="35"/>
      <c r="J49" s="34"/>
      <c r="K49" s="34"/>
      <c r="L49" s="35"/>
      <c r="M49" s="35"/>
      <c r="N49" s="36"/>
      <c r="O49" s="35"/>
      <c r="P49" s="37">
        <f>IFERROR(__xludf.DUMMYFUNCTION("""COMPUTED_VALUE"""),3000.0)</f>
        <v>3000</v>
      </c>
      <c r="Q49" s="37">
        <f>IFERROR(__xludf.DUMMYFUNCTION("""COMPUTED_VALUE"""),1600.0)</f>
        <v>1600</v>
      </c>
      <c r="R49" s="37"/>
      <c r="S49" s="38"/>
      <c r="T49" s="35"/>
      <c r="U49" s="35"/>
      <c r="V49" s="35"/>
      <c r="W49" s="35"/>
      <c r="X49" s="35"/>
      <c r="Y49" s="35"/>
      <c r="Z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IFERROR(__xludf.DUMMYFUNCTION("""COMPUTED_VALUE"""),"マルス")</f>
        <v>マルス</v>
      </c>
      <c r="C50" s="35" t="str">
        <f>IFERROR(__xludf.DUMMYFUNCTION("""COMPUTED_VALUE"""),"マルス")</f>
        <v>マルス</v>
      </c>
      <c r="D50" s="35" t="str">
        <f>IFERROR(__xludf.DUMMYFUNCTION("""COMPUTED_VALUE"""),"駒ヶ岳")</f>
        <v>駒ヶ岳</v>
      </c>
      <c r="E50" s="35" t="str">
        <f>IFERROR(__xludf.DUMMYFUNCTION("""COMPUTED_VALUE"""),"シングルカスク")</f>
        <v>シングルカスク</v>
      </c>
      <c r="F50" s="35" t="str">
        <f>IFERROR(__xludf.DUMMYFUNCTION("""COMPUTED_VALUE"""),"#3319")</f>
        <v>#3319</v>
      </c>
      <c r="G50" s="35" t="str">
        <f>IFERROR(__xludf.DUMMYFUNCTION("""COMPUTED_VALUE"""),"駒ヶ岳")</f>
        <v>駒ヶ岳</v>
      </c>
      <c r="H50" s="35" t="str">
        <f>IFERROR(__xludf.DUMMYFUNCTION("""COMPUTED_VALUE"""),"for BAR fishborn10周年記念")</f>
        <v>for BAR fishborn10周年記念</v>
      </c>
      <c r="I50" s="35"/>
      <c r="J50" s="34"/>
      <c r="K50" s="34"/>
      <c r="L50" s="35"/>
      <c r="M50" s="35"/>
      <c r="N50" s="36"/>
      <c r="O50" s="35"/>
      <c r="P50" s="37">
        <f>IFERROR(__xludf.DUMMYFUNCTION("""COMPUTED_VALUE"""),3000.0)</f>
        <v>3000</v>
      </c>
      <c r="Q50" s="37">
        <f>IFERROR(__xludf.DUMMYFUNCTION("""COMPUTED_VALUE"""),1600.0)</f>
        <v>1600</v>
      </c>
      <c r="R50" s="37"/>
      <c r="S50" s="38">
        <f>IFERROR(__xludf.DUMMYFUNCTION("""COMPUTED_VALUE"""),44979.0)</f>
        <v>44979</v>
      </c>
      <c r="T50" s="35"/>
      <c r="U50" s="35"/>
      <c r="V50" s="35"/>
      <c r="W50" s="35"/>
      <c r="X50" s="35"/>
      <c r="Y50" s="35"/>
      <c r="Z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IFERROR(__xludf.DUMMYFUNCTION("""COMPUTED_VALUE"""),"マルス")</f>
        <v>マルス</v>
      </c>
      <c r="C51" s="35" t="str">
        <f>IFERROR(__xludf.DUMMYFUNCTION("""COMPUTED_VALUE"""),"マルス")</f>
        <v>マルス</v>
      </c>
      <c r="D51" s="35" t="str">
        <f>IFERROR(__xludf.DUMMYFUNCTION("""COMPUTED_VALUE"""),"駒ヶ岳")</f>
        <v>駒ヶ岳</v>
      </c>
      <c r="E51" s="35" t="str">
        <f>IFERROR(__xludf.DUMMYFUNCTION("""COMPUTED_VALUE"""),"シングルカスク")</f>
        <v>シングルカスク</v>
      </c>
      <c r="F51" s="35"/>
      <c r="G51" s="35" t="str">
        <f>IFERROR(__xludf.DUMMYFUNCTION("""COMPUTED_VALUE"""),"駒ヶ岳 2016 南信州ビールIPAカスクフィニッシュ")</f>
        <v>駒ヶ岳 2016 南信州ビールIPAカスクフィニッシュ</v>
      </c>
      <c r="H51" s="35" t="str">
        <f>IFERROR(__xludf.DUMMYFUNCTION("""COMPUTED_VALUE"""),"蒸溜所限定")</f>
        <v>蒸溜所限定</v>
      </c>
      <c r="I51" s="35"/>
      <c r="J51" s="34"/>
      <c r="K51" s="34"/>
      <c r="L51" s="35"/>
      <c r="M51" s="35"/>
      <c r="N51" s="36"/>
      <c r="O51" s="35"/>
      <c r="P51" s="37">
        <f>IFERROR(__xludf.DUMMYFUNCTION("""COMPUTED_VALUE"""),2400.0)</f>
        <v>2400</v>
      </c>
      <c r="Q51" s="37">
        <f>IFERROR(__xludf.DUMMYFUNCTION("""COMPUTED_VALUE"""),1300.0)</f>
        <v>1300</v>
      </c>
      <c r="R51" s="37"/>
      <c r="S51" s="38">
        <f>IFERROR(__xludf.DUMMYFUNCTION("""COMPUTED_VALUE"""),45811.0)</f>
        <v>45811</v>
      </c>
      <c r="T51" s="35"/>
      <c r="U51" s="35"/>
      <c r="V51" s="35"/>
      <c r="W51" s="35"/>
      <c r="X51" s="35"/>
      <c r="Y51" s="35"/>
      <c r="Z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IFERROR(__xludf.DUMMYFUNCTION("""COMPUTED_VALUE"""),"マルス")</f>
        <v>マルス</v>
      </c>
      <c r="C52" s="35" t="str">
        <f>IFERROR(__xludf.DUMMYFUNCTION("""COMPUTED_VALUE"""),"マルス")</f>
        <v>マルス</v>
      </c>
      <c r="D52" s="35" t="str">
        <f>IFERROR(__xludf.DUMMYFUNCTION("""COMPUTED_VALUE"""),"津貫")</f>
        <v>津貫</v>
      </c>
      <c r="E52" s="35" t="str">
        <f>IFERROR(__xludf.DUMMYFUNCTION("""COMPUTED_VALUE"""),"シングルカスク")</f>
        <v>シングルカスク</v>
      </c>
      <c r="F52" s="35" t="str">
        <f>IFERROR(__xludf.DUMMYFUNCTION("""COMPUTED_VALUE"""),"#T128")</f>
        <v>#T128</v>
      </c>
      <c r="G52" s="35" t="str">
        <f>IFERROR(__xludf.DUMMYFUNCTION("""COMPUTED_VALUE"""),"津貫")</f>
        <v>津貫</v>
      </c>
      <c r="H52" s="35" t="str">
        <f>IFERROR(__xludf.DUMMYFUNCTION("""COMPUTED_VALUE"""),"for ウイスキートーク福岡2022")</f>
        <v>for ウイスキートーク福岡2022</v>
      </c>
      <c r="I52" s="35"/>
      <c r="J52" s="34"/>
      <c r="K52" s="34"/>
      <c r="L52" s="35"/>
      <c r="M52" s="35"/>
      <c r="N52" s="36"/>
      <c r="O52" s="35"/>
      <c r="P52" s="37">
        <f>IFERROR(__xludf.DUMMYFUNCTION("""COMPUTED_VALUE"""),3000.0)</f>
        <v>3000</v>
      </c>
      <c r="Q52" s="37">
        <f>IFERROR(__xludf.DUMMYFUNCTION("""COMPUTED_VALUE"""),1600.0)</f>
        <v>1600</v>
      </c>
      <c r="R52" s="37"/>
      <c r="S52" s="38">
        <f>IFERROR(__xludf.DUMMYFUNCTION("""COMPUTED_VALUE"""),44908.0)</f>
        <v>44908</v>
      </c>
      <c r="T52" s="35"/>
      <c r="U52" s="35"/>
      <c r="V52" s="35"/>
      <c r="W52" s="35"/>
      <c r="X52" s="35"/>
      <c r="Y52" s="35"/>
      <c r="Z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IFERROR(__xludf.DUMMYFUNCTION("""COMPUTED_VALUE"""),"マルス")</f>
        <v>マルス</v>
      </c>
      <c r="C53" s="35" t="str">
        <f>IFERROR(__xludf.DUMMYFUNCTION("""COMPUTED_VALUE"""),"マルス")</f>
        <v>マルス</v>
      </c>
      <c r="D53" s="35" t="str">
        <f>IFERROR(__xludf.DUMMYFUNCTION("""COMPUTED_VALUE"""),"津貫")</f>
        <v>津貫</v>
      </c>
      <c r="E53" s="35" t="str">
        <f>IFERROR(__xludf.DUMMYFUNCTION("""COMPUTED_VALUE"""),"シングルカスク")</f>
        <v>シングルカスク</v>
      </c>
      <c r="F53" s="35" t="str">
        <f>IFERROR(__xludf.DUMMYFUNCTION("""COMPUTED_VALUE"""),"#T312")</f>
        <v>#T312</v>
      </c>
      <c r="G53" s="35" t="str">
        <f>IFERROR(__xludf.DUMMYFUNCTION("""COMPUTED_VALUE"""),"津貫")</f>
        <v>津貫</v>
      </c>
      <c r="H53" s="35" t="str">
        <f>IFERROR(__xludf.DUMMYFUNCTION("""COMPUTED_VALUE"""),"for ePower15周年記念")</f>
        <v>for ePower15周年記念</v>
      </c>
      <c r="I53" s="35"/>
      <c r="J53" s="34"/>
      <c r="K53" s="34"/>
      <c r="L53" s="35"/>
      <c r="M53" s="35"/>
      <c r="N53" s="36"/>
      <c r="O53" s="35"/>
      <c r="P53" s="37">
        <f>IFERROR(__xludf.DUMMYFUNCTION("""COMPUTED_VALUE"""),3000.0)</f>
        <v>3000</v>
      </c>
      <c r="Q53" s="37">
        <f>IFERROR(__xludf.DUMMYFUNCTION("""COMPUTED_VALUE"""),1600.0)</f>
        <v>1600</v>
      </c>
      <c r="R53" s="37"/>
      <c r="S53" s="38">
        <f>IFERROR(__xludf.DUMMYFUNCTION("""COMPUTED_VALUE"""),44860.0)</f>
        <v>44860</v>
      </c>
      <c r="T53" s="35"/>
      <c r="U53" s="35"/>
      <c r="V53" s="35"/>
      <c r="W53" s="35"/>
      <c r="X53" s="35"/>
      <c r="Y53" s="35"/>
      <c r="Z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IFERROR(__xludf.DUMMYFUNCTION("""COMPUTED_VALUE"""),"ガイアフロー")</f>
        <v>ガイアフロー</v>
      </c>
      <c r="C54" s="35" t="str">
        <f>IFERROR(__xludf.DUMMYFUNCTION("""COMPUTED_VALUE"""),"ブラックアダー")</f>
        <v>ブラックアダー</v>
      </c>
      <c r="D54" s="35" t="str">
        <f>IFERROR(__xludf.DUMMYFUNCTION("""COMPUTED_VALUE"""),"静岡")</f>
        <v>静岡</v>
      </c>
      <c r="E54" s="35" t="str">
        <f>IFERROR(__xludf.DUMMYFUNCTION("""COMPUTED_VALUE"""),"シングルカスク")</f>
        <v>シングルカスク</v>
      </c>
      <c r="F54" s="35" t="str">
        <f>IFERROR(__xludf.DUMMYFUNCTION("""COMPUTED_VALUE"""),"#739")</f>
        <v>#739</v>
      </c>
      <c r="G54" s="35" t="str">
        <f>IFERROR(__xludf.DUMMYFUNCTION("""COMPUTED_VALUE"""),"ブラックアダー ロウカスク 静岡 4年")</f>
        <v>ブラックアダー ロウカスク 静岡 4年</v>
      </c>
      <c r="H54" s="35" t="str">
        <f>IFERROR(__xludf.DUMMYFUNCTION("""COMPUTED_VALUE"""),"for BAR BARNS20周年記念")</f>
        <v>for BAR BARNS20周年記念</v>
      </c>
      <c r="I54" s="35"/>
      <c r="J54" s="34"/>
      <c r="K54" s="34"/>
      <c r="L54" s="35"/>
      <c r="M54" s="35"/>
      <c r="N54" s="36"/>
      <c r="O54" s="35"/>
      <c r="P54" s="37">
        <f>IFERROR(__xludf.DUMMYFUNCTION("""COMPUTED_VALUE"""),3000.0)</f>
        <v>3000</v>
      </c>
      <c r="Q54" s="37">
        <f>IFERROR(__xludf.DUMMYFUNCTION("""COMPUTED_VALUE"""),1600.0)</f>
        <v>1600</v>
      </c>
      <c r="R54" s="37"/>
      <c r="S54" s="38">
        <f>IFERROR(__xludf.DUMMYFUNCTION("""COMPUTED_VALUE"""),44982.0)</f>
        <v>44982</v>
      </c>
      <c r="T54" s="35"/>
      <c r="U54" s="35"/>
      <c r="V54" s="35"/>
      <c r="W54" s="35"/>
      <c r="X54" s="35"/>
      <c r="Y54" s="35"/>
      <c r="Z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IFERROR(__xludf.DUMMYFUNCTION("""COMPUTED_VALUE"""),"ガイアフロー")</f>
        <v>ガイアフロー</v>
      </c>
      <c r="C55" s="35" t="str">
        <f>IFERROR(__xludf.DUMMYFUNCTION("""COMPUTED_VALUE"""),"ガイアフロー")</f>
        <v>ガイアフロー</v>
      </c>
      <c r="D55" s="35" t="str">
        <f>IFERROR(__xludf.DUMMYFUNCTION("""COMPUTED_VALUE"""),"静岡")</f>
        <v>静岡</v>
      </c>
      <c r="E55" s="35" t="str">
        <f>IFERROR(__xludf.DUMMYFUNCTION("""COMPUTED_VALUE"""),"シングルカスク")</f>
        <v>シングルカスク</v>
      </c>
      <c r="F55" s="35" t="str">
        <f>IFERROR(__xludf.DUMMYFUNCTION("""COMPUTED_VALUE"""),"#2017-056")</f>
        <v>#2017-056</v>
      </c>
      <c r="G55" s="35" t="str">
        <f>IFERROR(__xludf.DUMMYFUNCTION("""COMPUTED_VALUE"""),"静岡 BACK TO LIFE")</f>
        <v>静岡 BACK TO LIFE</v>
      </c>
      <c r="H55" s="35" t="str">
        <f>IFERROR(__xludf.DUMMYFUNCTION("""COMPUTED_VALUE"""),"for Anytime Whisky")</f>
        <v>for Anytime Whisky</v>
      </c>
      <c r="I55" s="35"/>
      <c r="J55" s="34"/>
      <c r="K55" s="34"/>
      <c r="L55" s="35"/>
      <c r="M55" s="35"/>
      <c r="N55" s="36"/>
      <c r="O55" s="35"/>
      <c r="P55" s="37">
        <f>IFERROR(__xludf.DUMMYFUNCTION("""COMPUTED_VALUE"""),3000.0)</f>
        <v>3000</v>
      </c>
      <c r="Q55" s="37">
        <f>IFERROR(__xludf.DUMMYFUNCTION("""COMPUTED_VALUE"""),1600.0)</f>
        <v>1600</v>
      </c>
      <c r="R55" s="37"/>
      <c r="S55" s="38"/>
      <c r="T55" s="35"/>
      <c r="U55" s="35"/>
      <c r="V55" s="35"/>
      <c r="W55" s="35"/>
      <c r="X55" s="35"/>
      <c r="Y55" s="35"/>
      <c r="Z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IFERROR(__xludf.DUMMYFUNCTION("""COMPUTED_VALUE"""),"ガイアフロー")</f>
        <v>ガイアフロー</v>
      </c>
      <c r="C56" s="35" t="str">
        <f>IFERROR(__xludf.DUMMYFUNCTION("""COMPUTED_VALUE"""),"ガイアフロー")</f>
        <v>ガイアフロー</v>
      </c>
      <c r="D56" s="35" t="str">
        <f>IFERROR(__xludf.DUMMYFUNCTION("""COMPUTED_VALUE"""),"静岡")</f>
        <v>静岡</v>
      </c>
      <c r="E56" s="35" t="str">
        <f>IFERROR(__xludf.DUMMYFUNCTION("""COMPUTED_VALUE"""),"シングルカスク")</f>
        <v>シングルカスク</v>
      </c>
      <c r="F56" s="35" t="str">
        <f>IFERROR(__xludf.DUMMYFUNCTION("""COMPUTED_VALUE"""),"#2017-063")</f>
        <v>#2017-063</v>
      </c>
      <c r="G56" s="35" t="str">
        <f>IFERROR(__xludf.DUMMYFUNCTION("""COMPUTED_VALUE"""),"静岡 for Aichi Bar Friends")</f>
        <v>静岡 for Aichi Bar Friends</v>
      </c>
      <c r="H56" s="35"/>
      <c r="I56" s="35"/>
      <c r="J56" s="34"/>
      <c r="K56" s="34"/>
      <c r="L56" s="35"/>
      <c r="M56" s="35"/>
      <c r="N56" s="36"/>
      <c r="O56" s="35"/>
      <c r="P56" s="37">
        <f>IFERROR(__xludf.DUMMYFUNCTION("""COMPUTED_VALUE"""),2200.0)</f>
        <v>2200</v>
      </c>
      <c r="Q56" s="37">
        <f>IFERROR(__xludf.DUMMYFUNCTION("""COMPUTED_VALUE"""),1200.0)</f>
        <v>1200</v>
      </c>
      <c r="R56" s="37"/>
      <c r="S56" s="38">
        <f>IFERROR(__xludf.DUMMYFUNCTION("""COMPUTED_VALUE"""),45171.0)</f>
        <v>45171</v>
      </c>
      <c r="T56" s="35"/>
      <c r="U56" s="35"/>
      <c r="V56" s="35"/>
      <c r="W56" s="35"/>
      <c r="X56" s="35"/>
      <c r="Y56" s="35"/>
      <c r="Z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IFERROR(__xludf.DUMMYFUNCTION("""COMPUTED_VALUE"""),"ガイアフロー")</f>
        <v>ガイアフロー</v>
      </c>
      <c r="C57" s="35" t="str">
        <f>IFERROR(__xludf.DUMMYFUNCTION("""COMPUTED_VALUE"""),"ガイアフロー")</f>
        <v>ガイアフロー</v>
      </c>
      <c r="D57" s="35" t="str">
        <f>IFERROR(__xludf.DUMMYFUNCTION("""COMPUTED_VALUE"""),"静岡")</f>
        <v>静岡</v>
      </c>
      <c r="E57" s="35" t="str">
        <f>IFERROR(__xludf.DUMMYFUNCTION("""COMPUTED_VALUE"""),"シングルカスク")</f>
        <v>シングルカスク</v>
      </c>
      <c r="F57" s="35" t="str">
        <f>IFERROR(__xludf.DUMMYFUNCTION("""COMPUTED_VALUE"""),"#2017-110")</f>
        <v>#2017-110</v>
      </c>
      <c r="G57" s="35" t="str">
        <f>IFERROR(__xludf.DUMMYFUNCTION("""COMPUTED_VALUE"""),"静岡 for bar ZOETROPE17周年記念")</f>
        <v>静岡 for bar ZOETROPE17周年記念</v>
      </c>
      <c r="H57" s="35"/>
      <c r="I57" s="35"/>
      <c r="J57" s="34"/>
      <c r="K57" s="34"/>
      <c r="L57" s="35"/>
      <c r="M57" s="35"/>
      <c r="N57" s="36"/>
      <c r="O57" s="35"/>
      <c r="P57" s="37">
        <f>IFERROR(__xludf.DUMMYFUNCTION("""COMPUTED_VALUE"""),2800.0)</f>
        <v>2800</v>
      </c>
      <c r="Q57" s="37">
        <f>IFERROR(__xludf.DUMMYFUNCTION("""COMPUTED_VALUE"""),1500.0)</f>
        <v>1500</v>
      </c>
      <c r="R57" s="37"/>
      <c r="S57" s="38">
        <f>IFERROR(__xludf.DUMMYFUNCTION("""COMPUTED_VALUE"""),45018.0)</f>
        <v>45018</v>
      </c>
      <c r="T57" s="35"/>
      <c r="U57" s="35"/>
      <c r="V57" s="35"/>
      <c r="W57" s="35"/>
      <c r="X57" s="35"/>
      <c r="Y57" s="35"/>
      <c r="Z57" s="35"/>
    </row>
    <row r="58" ht="15.75" customHeight="1">
      <c r="A58" s="35" t="str">
        <f>IFERROR(__xludf.DUMMYFUNCTION("""COMPUTED_VALUE"""),"JP")</f>
        <v>JP</v>
      </c>
      <c r="B58" s="35" t="str">
        <f>IFERROR(__xludf.DUMMYFUNCTION("""COMPUTED_VALUE"""),"ガイアフロー")</f>
        <v>ガイアフロー</v>
      </c>
      <c r="C58" s="35" t="str">
        <f>IFERROR(__xludf.DUMMYFUNCTION("""COMPUTED_VALUE"""),"ガイアフロー")</f>
        <v>ガイアフロー</v>
      </c>
      <c r="D58" s="35" t="str">
        <f>IFERROR(__xludf.DUMMYFUNCTION("""COMPUTED_VALUE"""),"静岡")</f>
        <v>静岡</v>
      </c>
      <c r="E58" s="35" t="str">
        <f>IFERROR(__xludf.DUMMYFUNCTION("""COMPUTED_VALUE"""),"シングルカスク")</f>
        <v>シングルカスク</v>
      </c>
      <c r="F58" s="35" t="str">
        <f>IFERROR(__xludf.DUMMYFUNCTION("""COMPUTED_VALUE"""),"#2017-183")</f>
        <v>#2017-183</v>
      </c>
      <c r="G58" s="35" t="str">
        <f>IFERROR(__xludf.DUMMYFUNCTION("""COMPUTED_VALUE"""),"静岡 しげお樽")</f>
        <v>静岡 しげお樽</v>
      </c>
      <c r="H58" s="35" t="str">
        <f>IFERROR(__xludf.DUMMYFUNCTION("""COMPUTED_VALUE"""),"for BAR Groovy23周年記念")</f>
        <v>for BAR Groovy23周年記念</v>
      </c>
      <c r="I58" s="35"/>
      <c r="J58" s="34"/>
      <c r="K58" s="34"/>
      <c r="L58" s="35"/>
      <c r="M58" s="35"/>
      <c r="N58" s="36"/>
      <c r="O58" s="35"/>
      <c r="P58" s="37">
        <f>IFERROR(__xludf.DUMMYFUNCTION("""COMPUTED_VALUE"""),3000.0)</f>
        <v>3000</v>
      </c>
      <c r="Q58" s="37">
        <f>IFERROR(__xludf.DUMMYFUNCTION("""COMPUTED_VALUE"""),1600.0)</f>
        <v>1600</v>
      </c>
      <c r="R58" s="37"/>
      <c r="S58" s="38"/>
      <c r="T58" s="35"/>
      <c r="U58" s="35"/>
      <c r="V58" s="35"/>
      <c r="W58" s="35"/>
      <c r="X58" s="35"/>
      <c r="Y58" s="35"/>
      <c r="Z58" s="35"/>
    </row>
    <row r="59" ht="15.75" customHeight="1">
      <c r="A59" s="35" t="str">
        <f>IFERROR(__xludf.DUMMYFUNCTION("""COMPUTED_VALUE"""),"JP")</f>
        <v>JP</v>
      </c>
      <c r="B59" s="35" t="str">
        <f>IFERROR(__xludf.DUMMYFUNCTION("""COMPUTED_VALUE"""),"サクラオB&amp;D")</f>
        <v>サクラオB&amp;D</v>
      </c>
      <c r="C59" s="35" t="str">
        <f>IFERROR(__xludf.DUMMYFUNCTION("""COMPUTED_VALUE"""),"サクラオB&amp;D")</f>
        <v>サクラオB&amp;D</v>
      </c>
      <c r="D59" s="35" t="str">
        <f>IFERROR(__xludf.DUMMYFUNCTION("""COMPUTED_VALUE"""),"桜尾")</f>
        <v>桜尾</v>
      </c>
      <c r="E59" s="35" t="str">
        <f>IFERROR(__xludf.DUMMYFUNCTION("""COMPUTED_VALUE"""),"シングルカスク")</f>
        <v>シングルカスク</v>
      </c>
      <c r="F59" s="35" t="str">
        <f>IFERROR(__xludf.DUMMYFUNCTION("""COMPUTED_VALUE"""),"#5535")</f>
        <v>#5535</v>
      </c>
      <c r="G59" s="35" t="str">
        <f>IFERROR(__xludf.DUMMYFUNCTION("""COMPUTED_VALUE"""),"桜尾 IPAカスク")</f>
        <v>桜尾 IPAカスク</v>
      </c>
      <c r="H59" s="35" t="str">
        <f>IFERROR(__xludf.DUMMYFUNCTION("""COMPUTED_VALUE"""),"for WLN2024")</f>
        <v>for WLN2024</v>
      </c>
      <c r="I59" s="35"/>
      <c r="J59" s="34"/>
      <c r="K59" s="34"/>
      <c r="L59" s="35"/>
      <c r="M59" s="35"/>
      <c r="N59" s="36"/>
      <c r="O59" s="35"/>
      <c r="P59" s="37">
        <f>IFERROR(__xludf.DUMMYFUNCTION("""COMPUTED_VALUE"""),3500.0)</f>
        <v>3500</v>
      </c>
      <c r="Q59" s="37">
        <f>IFERROR(__xludf.DUMMYFUNCTION("""COMPUTED_VALUE"""),1900.0)</f>
        <v>1900</v>
      </c>
      <c r="R59" s="37"/>
      <c r="S59" s="38">
        <f>IFERROR(__xludf.DUMMYFUNCTION("""COMPUTED_VALUE"""),45346.0)</f>
        <v>45346</v>
      </c>
      <c r="T59" s="35"/>
      <c r="U59" s="35"/>
      <c r="V59" s="35"/>
      <c r="W59" s="35"/>
      <c r="X59" s="35"/>
      <c r="Y59" s="35"/>
      <c r="Z59" s="35"/>
    </row>
    <row r="60" ht="15.75" customHeight="1">
      <c r="A60" s="35" t="str">
        <f>IFERROR(__xludf.DUMMYFUNCTION("""COMPUTED_VALUE"""),"JP")</f>
        <v>JP</v>
      </c>
      <c r="B60" s="35" t="str">
        <f>IFERROR(__xludf.DUMMYFUNCTION("""COMPUTED_VALUE"""),"堅展実業")</f>
        <v>堅展実業</v>
      </c>
      <c r="C60" s="35" t="str">
        <f>IFERROR(__xludf.DUMMYFUNCTION("""COMPUTED_VALUE"""),"堅展実業")</f>
        <v>堅展実業</v>
      </c>
      <c r="D60" s="35" t="str">
        <f>IFERROR(__xludf.DUMMYFUNCTION("""COMPUTED_VALUE"""),"厚岸")</f>
        <v>厚岸</v>
      </c>
      <c r="E60" s="35" t="str">
        <f>IFERROR(__xludf.DUMMYFUNCTION("""COMPUTED_VALUE"""),"シングルカスク")</f>
        <v>シングルカスク</v>
      </c>
      <c r="F60" s="35" t="str">
        <f>IFERROR(__xludf.DUMMYFUNCTION("""COMPUTED_VALUE"""),"#607")</f>
        <v>#607</v>
      </c>
      <c r="G60" s="35" t="str">
        <f>IFERROR(__xludf.DUMMYFUNCTION("""COMPUTED_VALUE"""),"厚岸 5年 ヘビリーピーテッド")</f>
        <v>厚岸 5年 ヘビリーピーテッド</v>
      </c>
      <c r="H60" s="35" t="str">
        <f>IFERROR(__xludf.DUMMYFUNCTION("""COMPUTED_VALUE"""),"for BAR fishborn")</f>
        <v>for BAR fishborn</v>
      </c>
      <c r="I60" s="35"/>
      <c r="J60" s="34"/>
      <c r="K60" s="34"/>
      <c r="L60" s="35"/>
      <c r="M60" s="35"/>
      <c r="N60" s="36"/>
      <c r="O60" s="35"/>
      <c r="P60" s="37"/>
      <c r="Q60" s="37"/>
      <c r="R60" s="37">
        <f>IFERROR(__xludf.DUMMYFUNCTION("""COMPUTED_VALUE"""),2800.0)</f>
        <v>2800</v>
      </c>
      <c r="S60" s="38">
        <f>IFERROR(__xludf.DUMMYFUNCTION("""COMPUTED_VALUE"""),44979.0)</f>
        <v>44979</v>
      </c>
      <c r="T60" s="35"/>
      <c r="U60" s="35"/>
      <c r="V60" s="35"/>
      <c r="W60" s="35"/>
      <c r="X60" s="35"/>
      <c r="Y60" s="35"/>
      <c r="Z60" s="35"/>
    </row>
    <row r="61" ht="15.75" customHeight="1">
      <c r="A61" s="35" t="str">
        <f>IFERROR(__xludf.DUMMYFUNCTION("""COMPUTED_VALUE"""),"JP")</f>
        <v>JP</v>
      </c>
      <c r="B61" s="35" t="str">
        <f>IFERROR(__xludf.DUMMYFUNCTION("""COMPUTED_VALUE"""),"小正嘉之助")</f>
        <v>小正嘉之助</v>
      </c>
      <c r="C61" s="35" t="str">
        <f>IFERROR(__xludf.DUMMYFUNCTION("""COMPUTED_VALUE"""),"小正嘉之助")</f>
        <v>小正嘉之助</v>
      </c>
      <c r="D61" s="35" t="str">
        <f>IFERROR(__xludf.DUMMYFUNCTION("""COMPUTED_VALUE"""),"嘉之助")</f>
        <v>嘉之助</v>
      </c>
      <c r="E61" s="35" t="str">
        <f>IFERROR(__xludf.DUMMYFUNCTION("""COMPUTED_VALUE"""),"シングルカスク")</f>
        <v>シングルカスク</v>
      </c>
      <c r="F61" s="35" t="str">
        <f>IFERROR(__xludf.DUMMYFUNCTION("""COMPUTED_VALUE"""),"#18129")</f>
        <v>#18129</v>
      </c>
      <c r="G61" s="35" t="str">
        <f>IFERROR(__xludf.DUMMYFUNCTION("""COMPUTED_VALUE"""),"嘉之介")</f>
        <v>嘉之介</v>
      </c>
      <c r="H61" s="35" t="str">
        <f>IFERROR(__xludf.DUMMYFUNCTION("""COMPUTED_VALUE"""),"for ウイスキートーク福岡2021")</f>
        <v>for ウイスキートーク福岡2021</v>
      </c>
      <c r="I61" s="35"/>
      <c r="J61" s="34"/>
      <c r="K61" s="34"/>
      <c r="L61" s="35"/>
      <c r="M61" s="35"/>
      <c r="N61" s="36"/>
      <c r="O61" s="35"/>
      <c r="P61" s="37">
        <f>IFERROR(__xludf.DUMMYFUNCTION("""COMPUTED_VALUE"""),3000.0)</f>
        <v>3000</v>
      </c>
      <c r="Q61" s="37">
        <f>IFERROR(__xludf.DUMMYFUNCTION("""COMPUTED_VALUE"""),1600.0)</f>
        <v>1600</v>
      </c>
      <c r="R61" s="37"/>
      <c r="S61" s="38"/>
      <c r="T61" s="35"/>
      <c r="U61" s="35"/>
      <c r="V61" s="35"/>
      <c r="W61" s="35"/>
      <c r="X61" s="35"/>
      <c r="Y61" s="35"/>
      <c r="Z61" s="35"/>
    </row>
    <row r="62" ht="15.75" customHeight="1">
      <c r="A62" s="35" t="str">
        <f>IFERROR(__xludf.DUMMYFUNCTION("""COMPUTED_VALUE"""),"JP")</f>
        <v>JP</v>
      </c>
      <c r="B62" s="35" t="str">
        <f>IFERROR(__xludf.DUMMYFUNCTION("""COMPUTED_VALUE"""),"小正嘉之助")</f>
        <v>小正嘉之助</v>
      </c>
      <c r="C62" s="35" t="str">
        <f>IFERROR(__xludf.DUMMYFUNCTION("""COMPUTED_VALUE"""),"小正嘉之助")</f>
        <v>小正嘉之助</v>
      </c>
      <c r="D62" s="35" t="str">
        <f>IFERROR(__xludf.DUMMYFUNCTION("""COMPUTED_VALUE"""),"嘉之助")</f>
        <v>嘉之助</v>
      </c>
      <c r="E62" s="35" t="str">
        <f>IFERROR(__xludf.DUMMYFUNCTION("""COMPUTED_VALUE"""),"シングルカスク")</f>
        <v>シングルカスク</v>
      </c>
      <c r="F62" s="35" t="str">
        <f>IFERROR(__xludf.DUMMYFUNCTION("""COMPUTED_VALUE"""),"#22023")</f>
        <v>#22023</v>
      </c>
      <c r="G62" s="35" t="str">
        <f>IFERROR(__xludf.DUMMYFUNCTION("""COMPUTED_VALUE"""),"嘉之介 報恩謝徳")</f>
        <v>嘉之介 報恩謝徳</v>
      </c>
      <c r="H62" s="35" t="str">
        <f>IFERROR(__xludf.DUMMYFUNCTION("""COMPUTED_VALUE"""),"for BAR GROOVY 25周年記念")</f>
        <v>for BAR GROOVY 25周年記念</v>
      </c>
      <c r="I62" s="35"/>
      <c r="J62" s="34"/>
      <c r="K62" s="34"/>
      <c r="L62" s="35"/>
      <c r="M62" s="35"/>
      <c r="N62" s="36">
        <f>IFERROR(__xludf.DUMMYFUNCTION("""COMPUTED_VALUE"""),0.57)</f>
        <v>0.57</v>
      </c>
      <c r="O62" s="35">
        <f>IFERROR(__xludf.DUMMYFUNCTION("""COMPUTED_VALUE"""),112.0)</f>
        <v>112</v>
      </c>
      <c r="P62" s="37">
        <f>IFERROR(__xludf.DUMMYFUNCTION("""COMPUTED_VALUE"""),3000.0)</f>
        <v>3000</v>
      </c>
      <c r="Q62" s="37">
        <f>IFERROR(__xludf.DUMMYFUNCTION("""COMPUTED_VALUE"""),1600.0)</f>
        <v>1600</v>
      </c>
      <c r="R62" s="37"/>
      <c r="S62" s="38">
        <f>IFERROR(__xludf.DUMMYFUNCTION("""COMPUTED_VALUE"""),45914.0)</f>
        <v>45914</v>
      </c>
      <c r="T62" s="35"/>
      <c r="U62" s="35"/>
      <c r="V62" s="35"/>
      <c r="W62" s="35"/>
      <c r="X62" s="35"/>
      <c r="Y62" s="35"/>
      <c r="Z62" s="35"/>
    </row>
    <row r="63" ht="15.75" customHeight="1">
      <c r="A63" s="35" t="str">
        <f>IFERROR(__xludf.DUMMYFUNCTION("""COMPUTED_VALUE"""),"JP")</f>
        <v>JP</v>
      </c>
      <c r="B63" s="35" t="str">
        <f>IFERROR(__xludf.DUMMYFUNCTION("""COMPUTED_VALUE"""),"小正嘉之助")</f>
        <v>小正嘉之助</v>
      </c>
      <c r="C63" s="35" t="str">
        <f>IFERROR(__xludf.DUMMYFUNCTION("""COMPUTED_VALUE"""),"小正嘉之助")</f>
        <v>小正嘉之助</v>
      </c>
      <c r="D63" s="35" t="str">
        <f>IFERROR(__xludf.DUMMYFUNCTION("""COMPUTED_VALUE"""),"嘉之助")</f>
        <v>嘉之助</v>
      </c>
      <c r="E63" s="35" t="str">
        <f>IFERROR(__xludf.DUMMYFUNCTION("""COMPUTED_VALUE"""),"シングルカスク")</f>
        <v>シングルカスク</v>
      </c>
      <c r="F63" s="35" t="str">
        <f>IFERROR(__xludf.DUMMYFUNCTION("""COMPUTED_VALUE"""),"#19058")</f>
        <v>#19058</v>
      </c>
      <c r="G63" s="35" t="str">
        <f>IFERROR(__xludf.DUMMYFUNCTION("""COMPUTED_VALUE"""),"嘉之助")</f>
        <v>嘉之助</v>
      </c>
      <c r="H63" s="35" t="str">
        <f>IFERROR(__xludf.DUMMYFUNCTION("""COMPUTED_VALUE"""),"for MMWM2022")</f>
        <v>for MMWM2022</v>
      </c>
      <c r="I63" s="35"/>
      <c r="J63" s="34"/>
      <c r="K63" s="34"/>
      <c r="L63" s="35"/>
      <c r="M63" s="35"/>
      <c r="N63" s="36"/>
      <c r="O63" s="35"/>
      <c r="P63" s="37">
        <f>IFERROR(__xludf.DUMMYFUNCTION("""COMPUTED_VALUE"""),3000.0)</f>
        <v>3000</v>
      </c>
      <c r="Q63" s="37">
        <f>IFERROR(__xludf.DUMMYFUNCTION("""COMPUTED_VALUE"""),1600.0)</f>
        <v>1600</v>
      </c>
      <c r="R63" s="37"/>
      <c r="S63" s="38">
        <f>IFERROR(__xludf.DUMMYFUNCTION("""COMPUTED_VALUE"""),44856.0)</f>
        <v>44856</v>
      </c>
      <c r="T63" s="35"/>
      <c r="U63" s="35"/>
      <c r="V63" s="35"/>
      <c r="W63" s="35"/>
      <c r="X63" s="35"/>
      <c r="Y63" s="35"/>
      <c r="Z63" s="35"/>
    </row>
    <row r="64" ht="15.75" customHeight="1">
      <c r="A64" s="35" t="str">
        <f>IFERROR(__xludf.DUMMYFUNCTION("""COMPUTED_VALUE"""),"JP")</f>
        <v>JP</v>
      </c>
      <c r="B64" s="35" t="str">
        <f>IFERROR(__xludf.DUMMYFUNCTION("""COMPUTED_VALUE"""),"江井ヶ嶋")</f>
        <v>江井ヶ嶋</v>
      </c>
      <c r="C64" s="35" t="str">
        <f>IFERROR(__xludf.DUMMYFUNCTION("""COMPUTED_VALUE"""),"江井ヶ嶋")</f>
        <v>江井ヶ嶋</v>
      </c>
      <c r="D64" s="35" t="str">
        <f>IFERROR(__xludf.DUMMYFUNCTION("""COMPUTED_VALUE"""),"江井ヶ嶋")</f>
        <v>江井ヶ嶋</v>
      </c>
      <c r="E64" s="35" t="str">
        <f>IFERROR(__xludf.DUMMYFUNCTION("""COMPUTED_VALUE"""),"シングルカスク")</f>
        <v>シングルカスク</v>
      </c>
      <c r="F64" s="35" t="str">
        <f>IFERROR(__xludf.DUMMYFUNCTION("""COMPUTED_VALUE"""),"#1241")</f>
        <v>#1241</v>
      </c>
      <c r="G64" s="35" t="str">
        <f>IFERROR(__xludf.DUMMYFUNCTION("""COMPUTED_VALUE"""),"あかし 3年 バーボンバレル")</f>
        <v>あかし 3年 バーボンバレル</v>
      </c>
      <c r="H64" s="35"/>
      <c r="I64" s="35"/>
      <c r="J64" s="34"/>
      <c r="K64" s="34"/>
      <c r="L64" s="35"/>
      <c r="M64" s="35"/>
      <c r="N64" s="36"/>
      <c r="O64" s="35"/>
      <c r="P64" s="37">
        <f>IFERROR(__xludf.DUMMYFUNCTION("""COMPUTED_VALUE"""),2200.0)</f>
        <v>2200</v>
      </c>
      <c r="Q64" s="37">
        <f>IFERROR(__xludf.DUMMYFUNCTION("""COMPUTED_VALUE"""),1200.0)</f>
        <v>1200</v>
      </c>
      <c r="R64" s="37"/>
      <c r="S64" s="38"/>
      <c r="T64" s="35"/>
      <c r="U64" s="35"/>
      <c r="V64" s="35"/>
      <c r="W64" s="35"/>
      <c r="X64" s="35"/>
      <c r="Y64" s="35"/>
      <c r="Z64" s="35"/>
    </row>
    <row r="65" ht="15.75" customHeight="1">
      <c r="A65" s="35" t="str">
        <f>IFERROR(__xludf.DUMMYFUNCTION("""COMPUTED_VALUE"""),"JP")</f>
        <v>JP</v>
      </c>
      <c r="B65" s="35" t="str">
        <f>IFERROR(__xludf.DUMMYFUNCTION("""COMPUTED_VALUE"""),"江井ヶ嶋")</f>
        <v>江井ヶ嶋</v>
      </c>
      <c r="C65" s="35" t="str">
        <f>IFERROR(__xludf.DUMMYFUNCTION("""COMPUTED_VALUE"""),"江井ヶ嶋")</f>
        <v>江井ヶ嶋</v>
      </c>
      <c r="D65" s="35" t="str">
        <f>IFERROR(__xludf.DUMMYFUNCTION("""COMPUTED_VALUE"""),"江井ヶ嶋")</f>
        <v>江井ヶ嶋</v>
      </c>
      <c r="E65" s="35" t="str">
        <f>IFERROR(__xludf.DUMMYFUNCTION("""COMPUTED_VALUE"""),"シングルカスク")</f>
        <v>シングルカスク</v>
      </c>
      <c r="F65" s="35" t="str">
        <f>IFERROR(__xludf.DUMMYFUNCTION("""COMPUTED_VALUE"""),"#5158")</f>
        <v>#5158</v>
      </c>
      <c r="G65" s="35" t="str">
        <f>IFERROR(__xludf.DUMMYFUNCTION("""COMPUTED_VALUE"""),"あかし 5年 シェリーバット")</f>
        <v>あかし 5年 シェリーバット</v>
      </c>
      <c r="H65" s="35"/>
      <c r="I65" s="35"/>
      <c r="J65" s="34"/>
      <c r="K65" s="34"/>
      <c r="L65" s="35"/>
      <c r="M65" s="35"/>
      <c r="N65" s="36"/>
      <c r="O65" s="35"/>
      <c r="P65" s="37">
        <f>IFERROR(__xludf.DUMMYFUNCTION("""COMPUTED_VALUE"""),2400.0)</f>
        <v>2400</v>
      </c>
      <c r="Q65" s="37">
        <f>IFERROR(__xludf.DUMMYFUNCTION("""COMPUTED_VALUE"""),1300.0)</f>
        <v>1300</v>
      </c>
      <c r="R65" s="37"/>
      <c r="S65" s="38"/>
      <c r="T65" s="35"/>
      <c r="U65" s="35"/>
      <c r="V65" s="35"/>
      <c r="W65" s="35"/>
      <c r="X65" s="35"/>
      <c r="Y65" s="35"/>
      <c r="Z65" s="35"/>
    </row>
    <row r="66" ht="15.75" customHeight="1">
      <c r="A66" s="35" t="str">
        <f>IFERROR(__xludf.DUMMYFUNCTION("""COMPUTED_VALUE"""),"JP")</f>
        <v>JP</v>
      </c>
      <c r="B66" s="35" t="str">
        <f>IFERROR(__xludf.DUMMYFUNCTION("""COMPUTED_VALUE"""),"江井ヶ嶋")</f>
        <v>江井ヶ嶋</v>
      </c>
      <c r="C66" s="35" t="str">
        <f>IFERROR(__xludf.DUMMYFUNCTION("""COMPUTED_VALUE"""),"小学館")</f>
        <v>小学館</v>
      </c>
      <c r="D66" s="35" t="str">
        <f>IFERROR(__xludf.DUMMYFUNCTION("""COMPUTED_VALUE"""),"江井ヶ嶋")</f>
        <v>江井ヶ嶋</v>
      </c>
      <c r="E66" s="35" t="str">
        <f>IFERROR(__xludf.DUMMYFUNCTION("""COMPUTED_VALUE"""),"シングルカスク")</f>
        <v>シングルカスク</v>
      </c>
      <c r="F66" s="35" t="str">
        <f>IFERROR(__xludf.DUMMYFUNCTION("""COMPUTED_VALUE"""),"#61191")</f>
        <v>#61191</v>
      </c>
      <c r="G66" s="35" t="str">
        <f>IFERROR(__xludf.DUMMYFUNCTION("""COMPUTED_VALUE"""),"あかし 6年")</f>
        <v>あかし 6年</v>
      </c>
      <c r="H66" s="35" t="str">
        <f>IFERROR(__xludf.DUMMYFUNCTION("""COMPUTED_VALUE"""),"for ビッグコミック50周年記念")</f>
        <v>for ビッグコミック50周年記念</v>
      </c>
      <c r="I66" s="35"/>
      <c r="J66" s="34"/>
      <c r="K66" s="34"/>
      <c r="L66" s="35"/>
      <c r="M66" s="35"/>
      <c r="N66" s="36"/>
      <c r="O66" s="35"/>
      <c r="P66" s="37">
        <f>IFERROR(__xludf.DUMMYFUNCTION("""COMPUTED_VALUE"""),3500.0)</f>
        <v>3500</v>
      </c>
      <c r="Q66" s="37">
        <f>IFERROR(__xludf.DUMMYFUNCTION("""COMPUTED_VALUE"""),1900.0)</f>
        <v>1900</v>
      </c>
      <c r="R66" s="37"/>
      <c r="S66" s="38"/>
      <c r="T66" s="35"/>
      <c r="U66" s="35"/>
      <c r="V66" s="35"/>
      <c r="W66" s="35"/>
      <c r="X66" s="35"/>
      <c r="Y66" s="35"/>
      <c r="Z66" s="35"/>
    </row>
    <row r="67" ht="15.75" customHeight="1">
      <c r="A67" s="35" t="str">
        <f>IFERROR(__xludf.DUMMYFUNCTION("""COMPUTED_VALUE"""),"JP")</f>
        <v>JP</v>
      </c>
      <c r="B67" s="35" t="str">
        <f>IFERROR(__xludf.DUMMYFUNCTION("""COMPUTED_VALUE"""),"江井ヶ嶋")</f>
        <v>江井ヶ嶋</v>
      </c>
      <c r="C67" s="35" t="str">
        <f>IFERROR(__xludf.DUMMYFUNCTION("""COMPUTED_VALUE"""),"江井ヶ嶋")</f>
        <v>江井ヶ嶋</v>
      </c>
      <c r="D67" s="35" t="str">
        <f>IFERROR(__xludf.DUMMYFUNCTION("""COMPUTED_VALUE"""),"江井ヶ嶋")</f>
        <v>江井ヶ嶋</v>
      </c>
      <c r="E67" s="35" t="str">
        <f>IFERROR(__xludf.DUMMYFUNCTION("""COMPUTED_VALUE"""),"シングルカスク")</f>
        <v>シングルカスク</v>
      </c>
      <c r="F67" s="35" t="str">
        <f>IFERROR(__xludf.DUMMYFUNCTION("""COMPUTED_VALUE"""),"#5184")</f>
        <v>#5184</v>
      </c>
      <c r="G67" s="35" t="str">
        <f>IFERROR(__xludf.DUMMYFUNCTION("""COMPUTED_VALUE"""),"あかし 8年 シェリーバット")</f>
        <v>あかし 8年 シェリーバット</v>
      </c>
      <c r="H67" s="35"/>
      <c r="I67" s="35"/>
      <c r="J67" s="34"/>
      <c r="K67" s="34"/>
      <c r="L67" s="35"/>
      <c r="M67" s="35"/>
      <c r="N67" s="36"/>
      <c r="O67" s="35"/>
      <c r="P67" s="37">
        <f>IFERROR(__xludf.DUMMYFUNCTION("""COMPUTED_VALUE"""),3000.0)</f>
        <v>3000</v>
      </c>
      <c r="Q67" s="37">
        <f>IFERROR(__xludf.DUMMYFUNCTION("""COMPUTED_VALUE"""),1600.0)</f>
        <v>1600</v>
      </c>
      <c r="R67" s="37"/>
      <c r="S67" s="38"/>
      <c r="T67" s="35"/>
      <c r="U67" s="35"/>
      <c r="V67" s="35"/>
      <c r="W67" s="35"/>
      <c r="X67" s="35"/>
      <c r="Y67" s="35"/>
      <c r="Z67" s="35"/>
    </row>
    <row r="68" ht="15.75" customHeight="1">
      <c r="A68" s="35" t="str">
        <f>IFERROR(__xludf.DUMMYFUNCTION("""COMPUTED_VALUE"""),"JP")</f>
        <v>JP</v>
      </c>
      <c r="B68" s="35" t="str">
        <f>IFERROR(__xludf.DUMMYFUNCTION("""COMPUTED_VALUE"""),"江井ヶ嶋")</f>
        <v>江井ヶ嶋</v>
      </c>
      <c r="C68" s="35" t="str">
        <f>IFERROR(__xludf.DUMMYFUNCTION("""COMPUTED_VALUE"""),"江井ヶ嶋")</f>
        <v>江井ヶ嶋</v>
      </c>
      <c r="D68" s="35" t="str">
        <f>IFERROR(__xludf.DUMMYFUNCTION("""COMPUTED_VALUE"""),"江井ヶ嶋")</f>
        <v>江井ヶ嶋</v>
      </c>
      <c r="E68" s="35" t="str">
        <f>IFERROR(__xludf.DUMMYFUNCTION("""COMPUTED_VALUE"""),"シングルカスク")</f>
        <v>シングルカスク</v>
      </c>
      <c r="F68" s="35" t="str">
        <f>IFERROR(__xludf.DUMMYFUNCTION("""COMPUTED_VALUE"""),"#118164")</f>
        <v>#118164</v>
      </c>
      <c r="G68" s="35" t="str">
        <f>IFERROR(__xludf.DUMMYFUNCTION("""COMPUTED_VALUE"""),"あかし シェリーカスクPX 3年")</f>
        <v>あかし シェリーカスクPX 3年</v>
      </c>
      <c r="H68" s="35"/>
      <c r="I68" s="35"/>
      <c r="J68" s="34"/>
      <c r="K68" s="34"/>
      <c r="L68" s="35"/>
      <c r="M68" s="35"/>
      <c r="N68" s="36"/>
      <c r="O68" s="35"/>
      <c r="P68" s="37">
        <f>IFERROR(__xludf.DUMMYFUNCTION("""COMPUTED_VALUE"""),2800.0)</f>
        <v>2800</v>
      </c>
      <c r="Q68" s="37">
        <f>IFERROR(__xludf.DUMMYFUNCTION("""COMPUTED_VALUE"""),1500.0)</f>
        <v>1500</v>
      </c>
      <c r="R68" s="37"/>
      <c r="S68" s="38">
        <f>IFERROR(__xludf.DUMMYFUNCTION("""COMPUTED_VALUE"""),45386.0)</f>
        <v>45386</v>
      </c>
      <c r="T68" s="35"/>
      <c r="U68" s="35"/>
      <c r="V68" s="35"/>
      <c r="W68" s="35"/>
      <c r="X68" s="35"/>
      <c r="Y68" s="35"/>
      <c r="Z68" s="35"/>
    </row>
    <row r="69" ht="15.75" customHeight="1">
      <c r="A69" s="35" t="str">
        <f>IFERROR(__xludf.DUMMYFUNCTION("""COMPUTED_VALUE"""),"JP")</f>
        <v>JP</v>
      </c>
      <c r="B69" s="35" t="str">
        <f>IFERROR(__xludf.DUMMYFUNCTION("""COMPUTED_VALUE"""),"江井ヶ嶋")</f>
        <v>江井ヶ嶋</v>
      </c>
      <c r="C69" s="35" t="str">
        <f>IFERROR(__xludf.DUMMYFUNCTION("""COMPUTED_VALUE"""),"ブラックアダー")</f>
        <v>ブラックアダー</v>
      </c>
      <c r="D69" s="35" t="str">
        <f>IFERROR(__xludf.DUMMYFUNCTION("""COMPUTED_VALUE"""),"江井ヶ嶋")</f>
        <v>江井ヶ嶋</v>
      </c>
      <c r="E69" s="35" t="str">
        <f>IFERROR(__xludf.DUMMYFUNCTION("""COMPUTED_VALUE"""),"シングルカスク")</f>
        <v>シングルカスク</v>
      </c>
      <c r="F69" s="35" t="str">
        <f>IFERROR(__xludf.DUMMYFUNCTION("""COMPUTED_VALUE"""),"#101474")</f>
        <v>#101474</v>
      </c>
      <c r="G69" s="35" t="str">
        <f>IFERROR(__xludf.DUMMYFUNCTION("""COMPUTED_VALUE"""),"ブラックアダー江井ヶ嶋 オロロソシェリーバット")</f>
        <v>ブラックアダー江井ヶ嶋 オロロソシェリーバット</v>
      </c>
      <c r="H69" s="35"/>
      <c r="I69" s="35"/>
      <c r="J69" s="34"/>
      <c r="K69" s="34"/>
      <c r="L69" s="35"/>
      <c r="M69" s="35"/>
      <c r="N69" s="36"/>
      <c r="O69" s="35"/>
      <c r="P69" s="37">
        <f>IFERROR(__xludf.DUMMYFUNCTION("""COMPUTED_VALUE"""),3500.0)</f>
        <v>3500</v>
      </c>
      <c r="Q69" s="37">
        <f>IFERROR(__xludf.DUMMYFUNCTION("""COMPUTED_VALUE"""),1900.0)</f>
        <v>1900</v>
      </c>
      <c r="R69" s="37"/>
      <c r="S69" s="38">
        <f>IFERROR(__xludf.DUMMYFUNCTION("""COMPUTED_VALUE"""),44939.0)</f>
        <v>44939</v>
      </c>
      <c r="T69" s="35"/>
      <c r="U69" s="35"/>
      <c r="V69" s="35"/>
      <c r="W69" s="35"/>
      <c r="X69" s="35"/>
      <c r="Y69" s="35"/>
      <c r="Z69" s="35"/>
    </row>
    <row r="70" ht="15.75" customHeight="1">
      <c r="A70" s="35" t="str">
        <f>IFERROR(__xludf.DUMMYFUNCTION("""COMPUTED_VALUE"""),"JP")</f>
        <v>JP</v>
      </c>
      <c r="B70" s="35" t="str">
        <f>IFERROR(__xludf.DUMMYFUNCTION("""COMPUTED_VALUE"""),"江井ヶ嶋")</f>
        <v>江井ヶ嶋</v>
      </c>
      <c r="C70" s="35" t="str">
        <f>IFERROR(__xludf.DUMMYFUNCTION("""COMPUTED_VALUE"""),"ガイアフロー")</f>
        <v>ガイアフロー</v>
      </c>
      <c r="D70" s="35" t="str">
        <f>IFERROR(__xludf.DUMMYFUNCTION("""COMPUTED_VALUE"""),"江井ヶ嶋")</f>
        <v>江井ヶ嶋</v>
      </c>
      <c r="E70" s="35" t="str">
        <f>IFERROR(__xludf.DUMMYFUNCTION("""COMPUTED_VALUE"""),"シングルカスク")</f>
        <v>シングルカスク</v>
      </c>
      <c r="F70" s="35"/>
      <c r="G70" s="35" t="str">
        <f>IFERROR(__xludf.DUMMYFUNCTION("""COMPUTED_VALUE"""),"紅葉")</f>
        <v>紅葉</v>
      </c>
      <c r="H70" s="35" t="str">
        <f>IFERROR(__xludf.DUMMYFUNCTION("""COMPUTED_VALUE"""),"ガイアフローPB")</f>
        <v>ガイアフローPB</v>
      </c>
      <c r="I70" s="35"/>
      <c r="J70" s="34"/>
      <c r="K70" s="34"/>
      <c r="L70" s="35"/>
      <c r="M70" s="35"/>
      <c r="N70" s="36"/>
      <c r="O70" s="35"/>
      <c r="P70" s="37">
        <f>IFERROR(__xludf.DUMMYFUNCTION("""COMPUTED_VALUE"""),2000.0)</f>
        <v>2000</v>
      </c>
      <c r="Q70" s="37">
        <f>IFERROR(__xludf.DUMMYFUNCTION("""COMPUTED_VALUE"""),1100.0)</f>
        <v>1100</v>
      </c>
      <c r="R70" s="37"/>
      <c r="S70" s="38">
        <f>IFERROR(__xludf.DUMMYFUNCTION("""COMPUTED_VALUE"""),45389.0)</f>
        <v>45389</v>
      </c>
      <c r="T70" s="35"/>
      <c r="U70" s="35"/>
      <c r="V70" s="35"/>
      <c r="W70" s="35"/>
      <c r="X70" s="35"/>
      <c r="Y70" s="35"/>
      <c r="Z70" s="35"/>
    </row>
    <row r="71" ht="15.75" customHeight="1">
      <c r="A71" s="35" t="str">
        <f>IFERROR(__xludf.DUMMYFUNCTION("""COMPUTED_VALUE"""),"JP")</f>
        <v>JP</v>
      </c>
      <c r="B71" s="35" t="str">
        <f>IFERROR(__xludf.DUMMYFUNCTION("""COMPUTED_VALUE"""),"江井ヶ嶋")</f>
        <v>江井ヶ嶋</v>
      </c>
      <c r="C71" s="35" t="str">
        <f>IFERROR(__xludf.DUMMYFUNCTION("""COMPUTED_VALUE"""),"ガイアフロー")</f>
        <v>ガイアフロー</v>
      </c>
      <c r="D71" s="35" t="str">
        <f>IFERROR(__xludf.DUMMYFUNCTION("""COMPUTED_VALUE"""),"江井ヶ嶋")</f>
        <v>江井ヶ嶋</v>
      </c>
      <c r="E71" s="35" t="str">
        <f>IFERROR(__xludf.DUMMYFUNCTION("""COMPUTED_VALUE"""),"シングルカスク")</f>
        <v>シングルカスク</v>
      </c>
      <c r="F71" s="35"/>
      <c r="G71" s="35" t="str">
        <f>IFERROR(__xludf.DUMMYFUNCTION("""COMPUTED_VALUE"""),"桐")</f>
        <v>桐</v>
      </c>
      <c r="H71" s="35" t="str">
        <f>IFERROR(__xludf.DUMMYFUNCTION("""COMPUTED_VALUE"""),"ガイアフローPB")</f>
        <v>ガイアフローPB</v>
      </c>
      <c r="I71" s="35"/>
      <c r="J71" s="34"/>
      <c r="K71" s="34"/>
      <c r="L71" s="35"/>
      <c r="M71" s="35"/>
      <c r="N71" s="36"/>
      <c r="O71" s="35"/>
      <c r="P71" s="37">
        <f>IFERROR(__xludf.DUMMYFUNCTION("""COMPUTED_VALUE"""),2200.0)</f>
        <v>2200</v>
      </c>
      <c r="Q71" s="37">
        <f>IFERROR(__xludf.DUMMYFUNCTION("""COMPUTED_VALUE"""),1200.0)</f>
        <v>1200</v>
      </c>
      <c r="R71" s="37"/>
      <c r="S71" s="38">
        <f>IFERROR(__xludf.DUMMYFUNCTION("""COMPUTED_VALUE"""),45388.0)</f>
        <v>45388</v>
      </c>
      <c r="T71" s="35"/>
      <c r="U71" s="35"/>
      <c r="V71" s="35"/>
      <c r="W71" s="35"/>
      <c r="X71" s="35"/>
      <c r="Y71" s="35"/>
      <c r="Z71" s="35"/>
    </row>
    <row r="72" ht="15.75" customHeight="1">
      <c r="A72" s="35" t="str">
        <f>IFERROR(__xludf.DUMMYFUNCTION("""COMPUTED_VALUE"""),"JP")</f>
        <v>JP</v>
      </c>
      <c r="B72" s="35" t="str">
        <f>IFERROR(__xludf.DUMMYFUNCTION("""COMPUTED_VALUE"""),"江井ヶ嶋")</f>
        <v>江井ヶ嶋</v>
      </c>
      <c r="C72" s="35" t="str">
        <f>IFERROR(__xludf.DUMMYFUNCTION("""COMPUTED_VALUE"""),"ガイアフロー")</f>
        <v>ガイアフロー</v>
      </c>
      <c r="D72" s="35" t="str">
        <f>IFERROR(__xludf.DUMMYFUNCTION("""COMPUTED_VALUE"""),"江井ヶ嶋")</f>
        <v>江井ヶ嶋</v>
      </c>
      <c r="E72" s="35" t="str">
        <f>IFERROR(__xludf.DUMMYFUNCTION("""COMPUTED_VALUE"""),"シングルカスク")</f>
        <v>シングルカスク</v>
      </c>
      <c r="F72" s="35"/>
      <c r="G72" s="35" t="str">
        <f>IFERROR(__xludf.DUMMYFUNCTION("""COMPUTED_VALUE"""),"桜")</f>
        <v>桜</v>
      </c>
      <c r="H72" s="35" t="str">
        <f>IFERROR(__xludf.DUMMYFUNCTION("""COMPUTED_VALUE"""),"ガイアフローPB")</f>
        <v>ガイアフローPB</v>
      </c>
      <c r="I72" s="35"/>
      <c r="J72" s="34"/>
      <c r="K72" s="34"/>
      <c r="L72" s="35"/>
      <c r="M72" s="35"/>
      <c r="N72" s="36"/>
      <c r="O72" s="35"/>
      <c r="P72" s="37">
        <f>IFERROR(__xludf.DUMMYFUNCTION("""COMPUTED_VALUE"""),2400.0)</f>
        <v>2400</v>
      </c>
      <c r="Q72" s="37">
        <f>IFERROR(__xludf.DUMMYFUNCTION("""COMPUTED_VALUE"""),1300.0)</f>
        <v>1300</v>
      </c>
      <c r="R72" s="37"/>
      <c r="S72" s="38">
        <f>IFERROR(__xludf.DUMMYFUNCTION("""COMPUTED_VALUE"""),45387.0)</f>
        <v>45387</v>
      </c>
      <c r="T72" s="35"/>
      <c r="U72" s="35"/>
      <c r="V72" s="35"/>
      <c r="W72" s="35"/>
      <c r="X72" s="35"/>
      <c r="Y72" s="35"/>
      <c r="Z72" s="35"/>
    </row>
    <row r="73" ht="15.75" customHeight="1">
      <c r="A73" s="35" t="str">
        <f>IFERROR(__xludf.DUMMYFUNCTION("""COMPUTED_VALUE"""),"JP")</f>
        <v>JP</v>
      </c>
      <c r="B73" s="35" t="str">
        <f>IFERROR(__xludf.DUMMYFUNCTION("""COMPUTED_VALUE"""),"笹の川")</f>
        <v>笹の川</v>
      </c>
      <c r="C73" s="35" t="str">
        <f>IFERROR(__xludf.DUMMYFUNCTION("""COMPUTED_VALUE"""),"笹の川")</f>
        <v>笹の川</v>
      </c>
      <c r="D73" s="35" t="str">
        <f>IFERROR(__xludf.DUMMYFUNCTION("""COMPUTED_VALUE"""),"安積")</f>
        <v>安積</v>
      </c>
      <c r="E73" s="35" t="str">
        <f>IFERROR(__xludf.DUMMYFUNCTION("""COMPUTED_VALUE"""),"シングルカスク")</f>
        <v>シングルカスク</v>
      </c>
      <c r="F73" s="35" t="str">
        <f>IFERROR(__xludf.DUMMYFUNCTION("""COMPUTED_VALUE"""),"#19052")</f>
        <v>#19052</v>
      </c>
      <c r="G73" s="35" t="str">
        <f>IFERROR(__xludf.DUMMYFUNCTION("""COMPUTED_VALUE"""),"安積 ザ・イチイ")</f>
        <v>安積 ザ・イチイ</v>
      </c>
      <c r="H73" s="35" t="str">
        <f>IFERROR(__xludf.DUMMYFUNCTION("""COMPUTED_VALUE"""),"for (株)いちい")</f>
        <v>for (株)いちい</v>
      </c>
      <c r="I73" s="35"/>
      <c r="J73" s="34"/>
      <c r="K73" s="34"/>
      <c r="L73" s="35"/>
      <c r="M73" s="35"/>
      <c r="N73" s="36"/>
      <c r="O73" s="35"/>
      <c r="P73" s="37">
        <f>IFERROR(__xludf.DUMMYFUNCTION("""COMPUTED_VALUE"""),3000.0)</f>
        <v>3000</v>
      </c>
      <c r="Q73" s="37">
        <f>IFERROR(__xludf.DUMMYFUNCTION("""COMPUTED_VALUE"""),1600.0)</f>
        <v>1600</v>
      </c>
      <c r="R73" s="37"/>
      <c r="S73" s="38">
        <f>IFERROR(__xludf.DUMMYFUNCTION("""COMPUTED_VALUE"""),45652.0)</f>
        <v>45652</v>
      </c>
      <c r="T73" s="35"/>
      <c r="U73" s="35"/>
      <c r="V73" s="35"/>
      <c r="W73" s="35"/>
      <c r="X73" s="35"/>
      <c r="Y73" s="35"/>
      <c r="Z73" s="35"/>
    </row>
    <row r="74" ht="15.75" customHeight="1">
      <c r="A74" s="35" t="str">
        <f>IFERROR(__xludf.DUMMYFUNCTION("""COMPUTED_VALUE"""),"Sc")</f>
        <v>Sc</v>
      </c>
      <c r="B74" s="35"/>
      <c r="C74" s="35" t="str">
        <f>IFERROR(__xludf.DUMMYFUNCTION("""COMPUTED_VALUE"""),"シグナトリー")</f>
        <v>シグナトリー</v>
      </c>
      <c r="D74" s="35"/>
      <c r="E74" s="35" t="str">
        <f>IFERROR(__xludf.DUMMYFUNCTION("""COMPUTED_VALUE"""),"シングルカスク")</f>
        <v>シングルカスク</v>
      </c>
      <c r="F74" s="35" t="str">
        <f>IFERROR(__xludf.DUMMYFUNCTION("""COMPUTED_VALUE"""),"#7204")</f>
        <v>#7204</v>
      </c>
      <c r="G74" s="35" t="str">
        <f>IFERROR(__xludf.DUMMYFUNCTION("""COMPUTED_VALUE"""),"ノンチルフィルタードコレクション ダルユーイン19年")</f>
        <v>ノンチルフィルタードコレクション ダルユーイン19年</v>
      </c>
      <c r="H74" s="35"/>
      <c r="I74" s="35"/>
      <c r="J74" s="34"/>
      <c r="K74" s="34"/>
      <c r="L74" s="35"/>
      <c r="M74" s="35"/>
      <c r="N74" s="36"/>
      <c r="O74" s="35"/>
      <c r="P74" s="37">
        <f>IFERROR(__xludf.DUMMYFUNCTION("""COMPUTED_VALUE"""),2400.0)</f>
        <v>2400</v>
      </c>
      <c r="Q74" s="37">
        <f>IFERROR(__xludf.DUMMYFUNCTION("""COMPUTED_VALUE"""),1300.0)</f>
        <v>1300</v>
      </c>
      <c r="R74" s="37"/>
      <c r="S74" s="38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4"/>
      <c r="K75" s="34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4"/>
      <c r="K76" s="34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4"/>
      <c r="K77" s="34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4"/>
      <c r="K78" s="34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4"/>
      <c r="K79" s="34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4"/>
      <c r="K80" s="34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4"/>
      <c r="K81" s="34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4"/>
      <c r="K82" s="34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4"/>
      <c r="K83" s="34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4"/>
      <c r="K84" s="3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4"/>
      <c r="K85" s="34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4"/>
      <c r="K86" s="34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4"/>
      <c r="K87" s="34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4"/>
      <c r="K88" s="34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4"/>
      <c r="K89" s="34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4"/>
      <c r="K90" s="34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4"/>
      <c r="K91" s="34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4"/>
      <c r="K92" s="34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4"/>
      <c r="K93" s="34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4"/>
      <c r="K94" s="34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4"/>
      <c r="K95" s="34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4"/>
      <c r="K96" s="34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4"/>
      <c r="K97" s="34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4"/>
      <c r="K98" s="34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4"/>
      <c r="K99" s="34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4"/>
      <c r="K100" s="34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4"/>
      <c r="K101" s="34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4"/>
      <c r="K102" s="34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4"/>
      <c r="K103" s="34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4"/>
      <c r="K104" s="34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4"/>
      <c r="K105" s="34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4"/>
      <c r="K106" s="34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4"/>
      <c r="K107" s="34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4"/>
      <c r="K108" s="34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4"/>
      <c r="K109" s="34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4"/>
      <c r="K110" s="34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4"/>
      <c r="K111" s="34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4"/>
      <c r="K112" s="34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4"/>
      <c r="K113" s="34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4"/>
      <c r="K114" s="34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4"/>
      <c r="K115" s="34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4"/>
      <c r="K116" s="34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4"/>
      <c r="K117" s="34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4"/>
      <c r="K118" s="34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4"/>
      <c r="K119" s="34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4"/>
      <c r="K120" s="34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4"/>
      <c r="K121" s="34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4"/>
      <c r="K122" s="34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4"/>
      <c r="K123" s="34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4"/>
      <c r="K124" s="34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4"/>
      <c r="K125" s="34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4"/>
      <c r="K126" s="34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4"/>
      <c r="K127" s="34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4"/>
      <c r="K128" s="34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4"/>
      <c r="K129" s="34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4"/>
      <c r="K130" s="34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4"/>
      <c r="K131" s="34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4"/>
      <c r="K132" s="34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4"/>
      <c r="K133" s="34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4"/>
      <c r="K134" s="34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4"/>
      <c r="K135" s="34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4"/>
      <c r="K136" s="34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4"/>
      <c r="K137" s="34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4"/>
      <c r="K138" s="34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4"/>
      <c r="K139" s="34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4"/>
      <c r="K140" s="34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4"/>
      <c r="K141" s="34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4"/>
      <c r="K142" s="34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4"/>
      <c r="K143" s="34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4"/>
      <c r="K144" s="34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4"/>
      <c r="K145" s="34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4"/>
      <c r="K146" s="34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4"/>
      <c r="K147" s="34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4"/>
      <c r="K148" s="34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4"/>
      <c r="K149" s="34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4"/>
      <c r="K150" s="34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4"/>
      <c r="K151" s="34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4"/>
      <c r="K152" s="34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4"/>
      <c r="K153" s="34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4"/>
      <c r="K154" s="34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4"/>
      <c r="K155" s="34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4"/>
      <c r="K156" s="34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4"/>
      <c r="K157" s="34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4"/>
      <c r="K158" s="34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4"/>
      <c r="K159" s="34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4"/>
      <c r="K160" s="34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4"/>
      <c r="K161" s="34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4"/>
      <c r="K162" s="34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4"/>
      <c r="K163" s="34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4"/>
      <c r="K164" s="34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4"/>
      <c r="K165" s="34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4"/>
      <c r="K166" s="34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4"/>
      <c r="K167" s="34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4"/>
      <c r="K168" s="34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4"/>
      <c r="K169" s="34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4"/>
      <c r="K170" s="34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4"/>
      <c r="K171" s="34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4"/>
      <c r="K172" s="34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4"/>
      <c r="K173" s="34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4"/>
      <c r="K174" s="34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4"/>
      <c r="K175" s="34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4"/>
      <c r="K176" s="34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4"/>
      <c r="K177" s="34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4"/>
      <c r="K178" s="34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4"/>
      <c r="K179" s="34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4"/>
      <c r="K180" s="34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4"/>
      <c r="K181" s="34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4"/>
      <c r="K182" s="34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4"/>
      <c r="K183" s="34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4"/>
      <c r="K184" s="34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4"/>
      <c r="K185" s="34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4"/>
      <c r="K186" s="34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4"/>
      <c r="K187" s="34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4"/>
      <c r="K188" s="34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4"/>
      <c r="K189" s="34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4"/>
      <c r="K190" s="34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4"/>
      <c r="K191" s="34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4"/>
      <c r="K192" s="34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4"/>
      <c r="K193" s="34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4"/>
      <c r="K194" s="34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4"/>
      <c r="K195" s="34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4"/>
      <c r="K196" s="34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4"/>
      <c r="K197" s="34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4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4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4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4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4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4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4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4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4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4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4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4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4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4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4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4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4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4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4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4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4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4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4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4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4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4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4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4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4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4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4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4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4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4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4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4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4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4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4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4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4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4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4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4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4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4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4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4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4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4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4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4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4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4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4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4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4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4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4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4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4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4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4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4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4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4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4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4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4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4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4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4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4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4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4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4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4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16.43"/>
    <col customWidth="1" min="4" max="4" width="7.86"/>
    <col customWidth="1" min="5" max="5" width="29.86"/>
    <col customWidth="1" min="6" max="6" width="7.86"/>
    <col customWidth="1" min="7" max="7" width="66.57"/>
    <col customWidth="1" min="8" max="8" width="31.0"/>
    <col customWidth="1" min="9" max="9" width="7.86"/>
    <col customWidth="1" min="10" max="10" width="23.0"/>
    <col customWidth="1" min="11" max="11" width="15.43"/>
    <col customWidth="1" hidden="1" min="12" max="12" width="5.71"/>
    <col customWidth="1" min="13" max="13" width="9.86"/>
    <col customWidth="1" min="14" max="15" width="5.71"/>
    <col customWidth="1" min="16" max="18" width="7.43"/>
    <col customWidth="1" min="19" max="19" width="12.0"/>
    <col customWidth="1" min="20" max="26" width="31.71"/>
  </cols>
  <sheetData>
    <row r="1">
      <c r="A1" s="33" t="s">
        <v>708</v>
      </c>
      <c r="T1" s="33"/>
      <c r="U1" s="33"/>
      <c r="V1" s="33"/>
      <c r="W1" s="33"/>
      <c r="X1" s="33"/>
      <c r="Y1" s="33"/>
      <c r="Z1" s="33"/>
    </row>
    <row r="2">
      <c r="A2" s="34" t="str">
        <f>IFERROR(__xludf.DUMMYFUNCTION("QUERY('全ウイスキー'!A:S, ""SELECT * WHERE E contains 'シングルモルト'"")"),"国")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  <c r="W2" s="34"/>
      <c r="X2" s="34"/>
      <c r="Y2" s="34"/>
      <c r="Z2" s="34"/>
    </row>
    <row r="3">
      <c r="A3" s="35" t="str">
        <f>IFERROR(__xludf.DUMMYFUNCTION("""COMPUTED_VALUE"""),"JP")</f>
        <v>JP</v>
      </c>
      <c r="B3" s="35" t="str">
        <f>IFERROR(__xludf.DUMMYFUNCTION("""COMPUTED_VALUE"""),"サントリー")</f>
        <v>サントリー</v>
      </c>
      <c r="C3" s="35" t="str">
        <f>IFERROR(__xludf.DUMMYFUNCTION("""COMPUTED_VALUE"""),"サントリー")</f>
        <v>サントリー</v>
      </c>
      <c r="D3" s="35" t="str">
        <f>IFERROR(__xludf.DUMMYFUNCTION("""COMPUTED_VALUE"""),"山崎")</f>
        <v>山崎</v>
      </c>
      <c r="E3" s="35" t="str">
        <f>IFERROR(__xludf.DUMMYFUNCTION("""COMPUTED_VALUE"""),"シングルモルト")</f>
        <v>シングルモルト</v>
      </c>
      <c r="F3" s="35"/>
      <c r="G3" s="35" t="str">
        <f>IFERROR(__xludf.DUMMYFUNCTION("""COMPUTED_VALUE"""),"山崎")</f>
        <v>山崎</v>
      </c>
      <c r="H3" s="35"/>
      <c r="I3" s="35"/>
      <c r="J3" s="34"/>
      <c r="K3" s="34"/>
      <c r="L3" s="35" t="str">
        <f>IFERROR(__xludf.DUMMYFUNCTION("""COMPUTED_VALUE"""),"✓")</f>
        <v>✓</v>
      </c>
      <c r="M3" s="35"/>
      <c r="N3" s="36">
        <f>IFERROR(__xludf.DUMMYFUNCTION("""COMPUTED_VALUE"""),0.43)</f>
        <v>0.43</v>
      </c>
      <c r="O3" s="35"/>
      <c r="P3" s="37">
        <f>IFERROR(__xludf.DUMMYFUNCTION("""COMPUTED_VALUE"""),1300.0)</f>
        <v>1300</v>
      </c>
      <c r="Q3" s="37">
        <f>IFERROR(__xludf.DUMMYFUNCTION("""COMPUTED_VALUE"""),750.0)</f>
        <v>750</v>
      </c>
      <c r="R3" s="37"/>
      <c r="S3" s="38">
        <f>IFERROR(__xludf.DUMMYFUNCTION("""COMPUTED_VALUE"""),45066.0)</f>
        <v>45066</v>
      </c>
      <c r="T3" s="35"/>
      <c r="U3" s="35"/>
      <c r="V3" s="35"/>
      <c r="W3" s="35"/>
      <c r="X3" s="35"/>
      <c r="Y3" s="35"/>
      <c r="Z3" s="35"/>
    </row>
    <row r="4">
      <c r="A4" s="35" t="str">
        <f>IFERROR(__xludf.DUMMYFUNCTION("""COMPUTED_VALUE"""),"JP")</f>
        <v>JP</v>
      </c>
      <c r="B4" s="35" t="str">
        <f>IFERROR(__xludf.DUMMYFUNCTION("""COMPUTED_VALUE"""),"サントリー")</f>
        <v>サントリー</v>
      </c>
      <c r="C4" s="35" t="str">
        <f>IFERROR(__xludf.DUMMYFUNCTION("""COMPUTED_VALUE"""),"サントリー")</f>
        <v>サントリー</v>
      </c>
      <c r="D4" s="35" t="str">
        <f>IFERROR(__xludf.DUMMYFUNCTION("""COMPUTED_VALUE"""),"山崎")</f>
        <v>山崎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IFERROR(__xludf.DUMMYFUNCTION("""COMPUTED_VALUE"""),"山崎 10年")</f>
        <v>山崎 10年</v>
      </c>
      <c r="H4" s="35"/>
      <c r="I4" s="35"/>
      <c r="J4" s="34"/>
      <c r="K4" s="34"/>
      <c r="L4" s="35"/>
      <c r="M4" s="35"/>
      <c r="N4" s="36">
        <f>IFERROR(__xludf.DUMMYFUNCTION("""COMPUTED_VALUE"""),0.4)</f>
        <v>0.4</v>
      </c>
      <c r="O4" s="35"/>
      <c r="P4" s="37">
        <f>IFERROR(__xludf.DUMMYFUNCTION("""COMPUTED_VALUE"""),2200.0)</f>
        <v>2200</v>
      </c>
      <c r="Q4" s="37">
        <f>IFERROR(__xludf.DUMMYFUNCTION("""COMPUTED_VALUE"""),1200.0)</f>
        <v>1200</v>
      </c>
      <c r="R4" s="37"/>
      <c r="S4" s="38">
        <f>IFERROR(__xludf.DUMMYFUNCTION("""COMPUTED_VALUE"""),45071.0)</f>
        <v>45071</v>
      </c>
      <c r="T4" s="35"/>
      <c r="U4" s="35"/>
      <c r="V4" s="35"/>
      <c r="W4" s="35"/>
      <c r="X4" s="35"/>
      <c r="Y4" s="35"/>
      <c r="Z4" s="35"/>
    </row>
    <row r="5">
      <c r="A5" s="35" t="str">
        <f>IFERROR(__xludf.DUMMYFUNCTION("""COMPUTED_VALUE"""),"JP")</f>
        <v>JP</v>
      </c>
      <c r="B5" s="35" t="str">
        <f>IFERROR(__xludf.DUMMYFUNCTION("""COMPUTED_VALUE"""),"サントリー")</f>
        <v>サントリー</v>
      </c>
      <c r="C5" s="35" t="str">
        <f>IFERROR(__xludf.DUMMYFUNCTION("""COMPUTED_VALUE"""),"サントリー")</f>
        <v>サントリー</v>
      </c>
      <c r="D5" s="35" t="str">
        <f>IFERROR(__xludf.DUMMYFUNCTION("""COMPUTED_VALUE"""),"山崎")</f>
        <v>山崎</v>
      </c>
      <c r="E5" s="35" t="str">
        <f>IFERROR(__xludf.DUMMYFUNCTION("""COMPUTED_VALUE"""),"シングルモルト")</f>
        <v>シングルモルト</v>
      </c>
      <c r="F5" s="35"/>
      <c r="G5" s="35" t="str">
        <f>IFERROR(__xludf.DUMMYFUNCTION("""COMPUTED_VALUE"""),"山崎 12年")</f>
        <v>山崎 12年</v>
      </c>
      <c r="H5" s="35"/>
      <c r="I5" s="35"/>
      <c r="J5" s="34"/>
      <c r="K5" s="34"/>
      <c r="L5" s="35" t="str">
        <f>IFERROR(__xludf.DUMMYFUNCTION("""COMPUTED_VALUE"""),"✓")</f>
        <v>✓</v>
      </c>
      <c r="M5" s="35"/>
      <c r="N5" s="36">
        <f>IFERROR(__xludf.DUMMYFUNCTION("""COMPUTED_VALUE"""),0.43)</f>
        <v>0.43</v>
      </c>
      <c r="O5" s="35"/>
      <c r="P5" s="37">
        <f>IFERROR(__xludf.DUMMYFUNCTION("""COMPUTED_VALUE"""),2600.0)</f>
        <v>2600</v>
      </c>
      <c r="Q5" s="37">
        <f>IFERROR(__xludf.DUMMYFUNCTION("""COMPUTED_VALUE"""),1400.0)</f>
        <v>1400</v>
      </c>
      <c r="R5" s="37"/>
      <c r="S5" s="38">
        <f>IFERROR(__xludf.DUMMYFUNCTION("""COMPUTED_VALUE"""),45067.0)</f>
        <v>45067</v>
      </c>
      <c r="T5" s="35"/>
      <c r="U5" s="35"/>
      <c r="V5" s="35"/>
      <c r="W5" s="35"/>
      <c r="X5" s="35"/>
      <c r="Y5" s="35"/>
      <c r="Z5" s="35"/>
    </row>
    <row r="6">
      <c r="A6" s="35" t="str">
        <f>IFERROR(__xludf.DUMMYFUNCTION("""COMPUTED_VALUE"""),"JP")</f>
        <v>JP</v>
      </c>
      <c r="B6" s="35" t="str">
        <f>IFERROR(__xludf.DUMMYFUNCTION("""COMPUTED_VALUE"""),"サントリー")</f>
        <v>サントリー</v>
      </c>
      <c r="C6" s="35" t="str">
        <f>IFERROR(__xludf.DUMMYFUNCTION("""COMPUTED_VALUE"""),"サントリー")</f>
        <v>サントリー</v>
      </c>
      <c r="D6" s="35" t="str">
        <f>IFERROR(__xludf.DUMMYFUNCTION("""COMPUTED_VALUE"""),"山崎")</f>
        <v>山崎</v>
      </c>
      <c r="E6" s="35" t="str">
        <f>IFERROR(__xludf.DUMMYFUNCTION("""COMPUTED_VALUE"""),"シングルモルト")</f>
        <v>シングルモルト</v>
      </c>
      <c r="F6" s="35"/>
      <c r="G6" s="35" t="str">
        <f>IFERROR(__xludf.DUMMYFUNCTION("""COMPUTED_VALUE"""),"山崎 18年")</f>
        <v>山崎 18年</v>
      </c>
      <c r="H6" s="35"/>
      <c r="I6" s="35"/>
      <c r="J6" s="34"/>
      <c r="K6" s="34"/>
      <c r="L6" s="35" t="str">
        <f>IFERROR(__xludf.DUMMYFUNCTION("""COMPUTED_VALUE"""),"✓")</f>
        <v>✓</v>
      </c>
      <c r="M6" s="35"/>
      <c r="N6" s="36">
        <f>IFERROR(__xludf.DUMMYFUNCTION("""COMPUTED_VALUE"""),0.43)</f>
        <v>0.43</v>
      </c>
      <c r="O6" s="35"/>
      <c r="P6" s="37"/>
      <c r="Q6" s="37"/>
      <c r="R6" s="37">
        <f>IFERROR(__xludf.DUMMYFUNCTION("""COMPUTED_VALUE"""),2200.0)</f>
        <v>2200</v>
      </c>
      <c r="S6" s="38">
        <f>IFERROR(__xludf.DUMMYFUNCTION("""COMPUTED_VALUE"""),45069.0)</f>
        <v>45069</v>
      </c>
      <c r="T6" s="35"/>
      <c r="U6" s="35"/>
      <c r="V6" s="35"/>
      <c r="W6" s="35"/>
      <c r="X6" s="35"/>
      <c r="Y6" s="35"/>
      <c r="Z6" s="35"/>
    </row>
    <row r="7">
      <c r="A7" s="35" t="str">
        <f>IFERROR(__xludf.DUMMYFUNCTION("""COMPUTED_VALUE"""),"JP")</f>
        <v>JP</v>
      </c>
      <c r="B7" s="35" t="str">
        <f>IFERROR(__xludf.DUMMYFUNCTION("""COMPUTED_VALUE"""),"サントリー")</f>
        <v>サントリー</v>
      </c>
      <c r="C7" s="35" t="str">
        <f>IFERROR(__xludf.DUMMYFUNCTION("""COMPUTED_VALUE"""),"サントリー")</f>
        <v>サントリー</v>
      </c>
      <c r="D7" s="35" t="str">
        <f>IFERROR(__xludf.DUMMYFUNCTION("""COMPUTED_VALUE"""),"山崎")</f>
        <v>山崎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IFERROR(__xludf.DUMMYFUNCTION("""COMPUTED_VALUE"""),"山崎 リミテッドエディション 2014")</f>
        <v>山崎 リミテッドエディション 2014</v>
      </c>
      <c r="H7" s="35"/>
      <c r="I7" s="35"/>
      <c r="J7" s="34"/>
      <c r="K7" s="34"/>
      <c r="L7" s="35"/>
      <c r="M7" s="35"/>
      <c r="N7" s="36">
        <f>IFERROR(__xludf.DUMMYFUNCTION("""COMPUTED_VALUE"""),0.43)</f>
        <v>0.43</v>
      </c>
      <c r="O7" s="35"/>
      <c r="P7" s="37">
        <f>IFERROR(__xludf.DUMMYFUNCTION("""COMPUTED_VALUE"""),3500.0)</f>
        <v>3500</v>
      </c>
      <c r="Q7" s="37">
        <f>IFERROR(__xludf.DUMMYFUNCTION("""COMPUTED_VALUE"""),1900.0)</f>
        <v>1900</v>
      </c>
      <c r="R7" s="37"/>
      <c r="S7" s="38">
        <f>IFERROR(__xludf.DUMMYFUNCTION("""COMPUTED_VALUE"""),45314.0)</f>
        <v>45314</v>
      </c>
      <c r="T7" s="35"/>
      <c r="U7" s="35"/>
      <c r="V7" s="35"/>
      <c r="W7" s="35"/>
      <c r="X7" s="35"/>
      <c r="Y7" s="35"/>
      <c r="Z7" s="35"/>
    </row>
    <row r="8">
      <c r="A8" s="35" t="str">
        <f>IFERROR(__xludf.DUMMYFUNCTION("""COMPUTED_VALUE"""),"JP")</f>
        <v>JP</v>
      </c>
      <c r="B8" s="35" t="str">
        <f>IFERROR(__xludf.DUMMYFUNCTION("""COMPUTED_VALUE"""),"サントリー")</f>
        <v>サントリー</v>
      </c>
      <c r="C8" s="35" t="str">
        <f>IFERROR(__xludf.DUMMYFUNCTION("""COMPUTED_VALUE"""),"サントリー")</f>
        <v>サントリー</v>
      </c>
      <c r="D8" s="35" t="str">
        <f>IFERROR(__xludf.DUMMYFUNCTION("""COMPUTED_VALUE"""),"山崎")</f>
        <v>山崎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IFERROR(__xludf.DUMMYFUNCTION("""COMPUTED_VALUE"""),"山崎 リミテッドエディション 2015")</f>
        <v>山崎 リミテッドエディション 2015</v>
      </c>
      <c r="H8" s="35"/>
      <c r="I8" s="35"/>
      <c r="J8" s="34"/>
      <c r="K8" s="34"/>
      <c r="L8" s="35"/>
      <c r="M8" s="35"/>
      <c r="N8" s="36">
        <f>IFERROR(__xludf.DUMMYFUNCTION("""COMPUTED_VALUE"""),0.43)</f>
        <v>0.43</v>
      </c>
      <c r="O8" s="35"/>
      <c r="P8" s="37">
        <f>IFERROR(__xludf.DUMMYFUNCTION("""COMPUTED_VALUE"""),3500.0)</f>
        <v>3500</v>
      </c>
      <c r="Q8" s="37">
        <f>IFERROR(__xludf.DUMMYFUNCTION("""COMPUTED_VALUE"""),1900.0)</f>
        <v>1900</v>
      </c>
      <c r="R8" s="37"/>
      <c r="S8" s="38">
        <f>IFERROR(__xludf.DUMMYFUNCTION("""COMPUTED_VALUE"""),45074.0)</f>
        <v>45074</v>
      </c>
      <c r="T8" s="35"/>
      <c r="U8" s="35"/>
      <c r="V8" s="35"/>
      <c r="W8" s="35"/>
      <c r="X8" s="35"/>
      <c r="Y8" s="35"/>
      <c r="Z8" s="35"/>
    </row>
    <row r="9">
      <c r="A9" s="35" t="str">
        <f>IFERROR(__xludf.DUMMYFUNCTION("""COMPUTED_VALUE"""),"JP")</f>
        <v>JP</v>
      </c>
      <c r="B9" s="35" t="str">
        <f>IFERROR(__xludf.DUMMYFUNCTION("""COMPUTED_VALUE"""),"サントリー")</f>
        <v>サントリー</v>
      </c>
      <c r="C9" s="35" t="str">
        <f>IFERROR(__xludf.DUMMYFUNCTION("""COMPUTED_VALUE"""),"サントリー")</f>
        <v>サントリー</v>
      </c>
      <c r="D9" s="35" t="str">
        <f>IFERROR(__xludf.DUMMYFUNCTION("""COMPUTED_VALUE"""),"山崎")</f>
        <v>山崎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IFERROR(__xludf.DUMMYFUNCTION("""COMPUTED_VALUE"""),"山崎蒸溜所")</f>
        <v>山崎蒸溜所</v>
      </c>
      <c r="H9" s="35" t="str">
        <f>IFERROR(__xludf.DUMMYFUNCTION("""COMPUTED_VALUE"""),"蒸溜所限定")</f>
        <v>蒸溜所限定</v>
      </c>
      <c r="I9" s="35"/>
      <c r="J9" s="34"/>
      <c r="K9" s="34"/>
      <c r="L9" s="35"/>
      <c r="M9" s="35"/>
      <c r="N9" s="36">
        <f>IFERROR(__xludf.DUMMYFUNCTION("""COMPUTED_VALUE"""),0.4)</f>
        <v>0.4</v>
      </c>
      <c r="O9" s="35"/>
      <c r="P9" s="37">
        <f>IFERROR(__xludf.DUMMYFUNCTION("""COMPUTED_VALUE"""),1500.0)</f>
        <v>1500</v>
      </c>
      <c r="Q9" s="37">
        <f>IFERROR(__xludf.DUMMYFUNCTION("""COMPUTED_VALUE"""),850.0)</f>
        <v>850</v>
      </c>
      <c r="R9" s="37"/>
      <c r="S9" s="38"/>
      <c r="T9" s="35"/>
      <c r="U9" s="35"/>
      <c r="V9" s="35"/>
      <c r="W9" s="35"/>
      <c r="X9" s="35"/>
      <c r="Y9" s="35"/>
      <c r="Z9" s="35"/>
    </row>
    <row r="10">
      <c r="A10" s="35" t="str">
        <f>IFERROR(__xludf.DUMMYFUNCTION("""COMPUTED_VALUE"""),"JP")</f>
        <v>JP</v>
      </c>
      <c r="B10" s="35" t="str">
        <f>IFERROR(__xludf.DUMMYFUNCTION("""COMPUTED_VALUE"""),"サントリー")</f>
        <v>サントリー</v>
      </c>
      <c r="C10" s="35" t="str">
        <f>IFERROR(__xludf.DUMMYFUNCTION("""COMPUTED_VALUE"""),"サントリー")</f>
        <v>サントリー</v>
      </c>
      <c r="D10" s="35" t="str">
        <f>IFERROR(__xludf.DUMMYFUNCTION("""COMPUTED_VALUE"""),"山崎")</f>
        <v>山崎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IFERROR(__xludf.DUMMYFUNCTION("""COMPUTED_VALUE"""),"山崎蒸溜所 ピーテッド")</f>
        <v>山崎蒸溜所 ピーテッド</v>
      </c>
      <c r="H10" s="35" t="str">
        <f>IFERROR(__xludf.DUMMYFUNCTION("""COMPUTED_VALUE"""),"エッセンスオブサントリー")</f>
        <v>エッセンスオブサントリー</v>
      </c>
      <c r="I10" s="35"/>
      <c r="J10" s="34"/>
      <c r="K10" s="34"/>
      <c r="L10" s="35"/>
      <c r="M10" s="35"/>
      <c r="N10" s="36">
        <f>IFERROR(__xludf.DUMMYFUNCTION("""COMPUTED_VALUE"""),0.49)</f>
        <v>0.49</v>
      </c>
      <c r="O10" s="35"/>
      <c r="P10" s="37">
        <f>IFERROR(__xludf.DUMMYFUNCTION("""COMPUTED_VALUE"""),3500.0)</f>
        <v>3500</v>
      </c>
      <c r="Q10" s="37">
        <f>IFERROR(__xludf.DUMMYFUNCTION("""COMPUTED_VALUE"""),1900.0)</f>
        <v>1900</v>
      </c>
      <c r="R10" s="37"/>
      <c r="S10" s="38">
        <f>IFERROR(__xludf.DUMMYFUNCTION("""COMPUTED_VALUE"""),45084.0)</f>
        <v>45084</v>
      </c>
      <c r="T10" s="35"/>
      <c r="U10" s="35"/>
      <c r="V10" s="35"/>
      <c r="W10" s="35"/>
      <c r="X10" s="35"/>
      <c r="Y10" s="35"/>
      <c r="Z10" s="35"/>
    </row>
    <row r="11">
      <c r="A11" s="35" t="str">
        <f>IFERROR(__xludf.DUMMYFUNCTION("""COMPUTED_VALUE"""),"JP")</f>
        <v>JP</v>
      </c>
      <c r="B11" s="35" t="str">
        <f>IFERROR(__xludf.DUMMYFUNCTION("""COMPUTED_VALUE"""),"サントリー")</f>
        <v>サントリー</v>
      </c>
      <c r="C11" s="35" t="str">
        <f>IFERROR(__xludf.DUMMYFUNCTION("""COMPUTED_VALUE"""),"サントリー")</f>
        <v>サントリー</v>
      </c>
      <c r="D11" s="35" t="str">
        <f>IFERROR(__xludf.DUMMYFUNCTION("""COMPUTED_VALUE"""),"山崎")</f>
        <v>山崎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IFERROR(__xludf.DUMMYFUNCTION("""COMPUTED_VALUE"""),"WSO-007")</f>
        <v>WSO-007</v>
      </c>
      <c r="H11" s="35" t="str">
        <f>IFERROR(__xludf.DUMMYFUNCTION("""COMPUTED_VALUE"""),"Whisky Shop W.限定")</f>
        <v>Whisky Shop W.限定</v>
      </c>
      <c r="I11" s="35"/>
      <c r="J11" s="34"/>
      <c r="K11" s="34"/>
      <c r="L11" s="35"/>
      <c r="M11" s="35"/>
      <c r="N11" s="36">
        <f>IFERROR(__xludf.DUMMYFUNCTION("""COMPUTED_VALUE"""),0.48)</f>
        <v>0.48</v>
      </c>
      <c r="O11" s="35">
        <f>IFERROR(__xludf.DUMMYFUNCTION("""COMPUTED_VALUE"""),3000.0)</f>
        <v>3000</v>
      </c>
      <c r="P11" s="37">
        <f>IFERROR(__xludf.DUMMYFUNCTION("""COMPUTED_VALUE"""),2800.0)</f>
        <v>2800</v>
      </c>
      <c r="Q11" s="37">
        <f>IFERROR(__xludf.DUMMYFUNCTION("""COMPUTED_VALUE"""),1500.0)</f>
        <v>1500</v>
      </c>
      <c r="R11" s="37"/>
      <c r="S11" s="38"/>
      <c r="T11" s="35"/>
      <c r="U11" s="35"/>
      <c r="V11" s="35"/>
      <c r="W11" s="35"/>
      <c r="X11" s="35"/>
      <c r="Y11" s="35"/>
      <c r="Z11" s="35"/>
    </row>
    <row r="12">
      <c r="A12" s="35" t="str">
        <f>IFERROR(__xludf.DUMMYFUNCTION("""COMPUTED_VALUE"""),"JP")</f>
        <v>JP</v>
      </c>
      <c r="B12" s="35" t="str">
        <f>IFERROR(__xludf.DUMMYFUNCTION("""COMPUTED_VALUE"""),"サントリー")</f>
        <v>サントリー</v>
      </c>
      <c r="C12" s="35" t="str">
        <f>IFERROR(__xludf.DUMMYFUNCTION("""COMPUTED_VALUE"""),"サントリー")</f>
        <v>サントリー</v>
      </c>
      <c r="D12" s="35" t="str">
        <f>IFERROR(__xludf.DUMMYFUNCTION("""COMPUTED_VALUE"""),"白州")</f>
        <v>白州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IFERROR(__xludf.DUMMYFUNCTION("""COMPUTED_VALUE"""),"白州")</f>
        <v>白州</v>
      </c>
      <c r="H12" s="35"/>
      <c r="I12" s="35"/>
      <c r="J12" s="34"/>
      <c r="K12" s="34"/>
      <c r="L12" s="35" t="str">
        <f>IFERROR(__xludf.DUMMYFUNCTION("""COMPUTED_VALUE"""),"✓")</f>
        <v>✓</v>
      </c>
      <c r="M12" s="35"/>
      <c r="N12" s="36">
        <f>IFERROR(__xludf.DUMMYFUNCTION("""COMPUTED_VALUE"""),0.43)</f>
        <v>0.43</v>
      </c>
      <c r="O12" s="35"/>
      <c r="P12" s="37">
        <f>IFERROR(__xludf.DUMMYFUNCTION("""COMPUTED_VALUE"""),1300.0)</f>
        <v>1300</v>
      </c>
      <c r="Q12" s="37">
        <f>IFERROR(__xludf.DUMMYFUNCTION("""COMPUTED_VALUE"""),700.0)</f>
        <v>700</v>
      </c>
      <c r="R12" s="37"/>
      <c r="S12" s="38">
        <f>IFERROR(__xludf.DUMMYFUNCTION("""COMPUTED_VALUE"""),45076.0)</f>
        <v>45076</v>
      </c>
      <c r="T12" s="35"/>
      <c r="U12" s="35"/>
      <c r="V12" s="35"/>
      <c r="W12" s="35"/>
      <c r="X12" s="35"/>
      <c r="Y12" s="35"/>
      <c r="Z12" s="35"/>
    </row>
    <row r="13">
      <c r="A13" s="35" t="str">
        <f>IFERROR(__xludf.DUMMYFUNCTION("""COMPUTED_VALUE"""),"JP")</f>
        <v>JP</v>
      </c>
      <c r="B13" s="35" t="str">
        <f>IFERROR(__xludf.DUMMYFUNCTION("""COMPUTED_VALUE"""),"サントリー")</f>
        <v>サントリー</v>
      </c>
      <c r="C13" s="35" t="str">
        <f>IFERROR(__xludf.DUMMYFUNCTION("""COMPUTED_VALUE"""),"サントリー")</f>
        <v>サントリー</v>
      </c>
      <c r="D13" s="35" t="str">
        <f>IFERROR(__xludf.DUMMYFUNCTION("""COMPUTED_VALUE"""),"白州")</f>
        <v>白州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IFERROR(__xludf.DUMMYFUNCTION("""COMPUTED_VALUE"""),"白州 12年")</f>
        <v>白州 12年</v>
      </c>
      <c r="H13" s="35"/>
      <c r="I13" s="35"/>
      <c r="J13" s="34"/>
      <c r="K13" s="34"/>
      <c r="L13" s="35" t="str">
        <f>IFERROR(__xludf.DUMMYFUNCTION("""COMPUTED_VALUE"""),"✓")</f>
        <v>✓</v>
      </c>
      <c r="M13" s="35"/>
      <c r="N13" s="36">
        <f>IFERROR(__xludf.DUMMYFUNCTION("""COMPUTED_VALUE"""),0.43)</f>
        <v>0.43</v>
      </c>
      <c r="O13" s="35"/>
      <c r="P13" s="37">
        <f>IFERROR(__xludf.DUMMYFUNCTION("""COMPUTED_VALUE"""),2600.0)</f>
        <v>2600</v>
      </c>
      <c r="Q13" s="37">
        <f>IFERROR(__xludf.DUMMYFUNCTION("""COMPUTED_VALUE"""),1400.0)</f>
        <v>1400</v>
      </c>
      <c r="R13" s="37"/>
      <c r="S13" s="38">
        <f>IFERROR(__xludf.DUMMYFUNCTION("""COMPUTED_VALUE"""),45078.0)</f>
        <v>45078</v>
      </c>
      <c r="T13" s="35"/>
      <c r="U13" s="35"/>
      <c r="V13" s="35"/>
      <c r="W13" s="35"/>
      <c r="X13" s="35"/>
      <c r="Y13" s="35"/>
      <c r="Z13" s="35"/>
    </row>
    <row r="14">
      <c r="A14" s="35" t="str">
        <f>IFERROR(__xludf.DUMMYFUNCTION("""COMPUTED_VALUE"""),"JP")</f>
        <v>JP</v>
      </c>
      <c r="B14" s="35" t="str">
        <f>IFERROR(__xludf.DUMMYFUNCTION("""COMPUTED_VALUE"""),"サントリー")</f>
        <v>サントリー</v>
      </c>
      <c r="C14" s="35" t="str">
        <f>IFERROR(__xludf.DUMMYFUNCTION("""COMPUTED_VALUE"""),"サントリー")</f>
        <v>サントリー</v>
      </c>
      <c r="D14" s="35" t="str">
        <f>IFERROR(__xludf.DUMMYFUNCTION("""COMPUTED_VALUE"""),"白州")</f>
        <v>白州</v>
      </c>
      <c r="E14" s="35" t="str">
        <f>IFERROR(__xludf.DUMMYFUNCTION("""COMPUTED_VALUE"""),"シングルモルト")</f>
        <v>シングルモルト</v>
      </c>
      <c r="F14" s="35"/>
      <c r="G14" s="35" t="str">
        <f>IFERROR(__xludf.DUMMYFUNCTION("""COMPUTED_VALUE"""),"白州 18年")</f>
        <v>白州 18年</v>
      </c>
      <c r="H14" s="35"/>
      <c r="I14" s="35"/>
      <c r="J14" s="34"/>
      <c r="K14" s="34"/>
      <c r="L14" s="35" t="str">
        <f>IFERROR(__xludf.DUMMYFUNCTION("""COMPUTED_VALUE"""),"✓")</f>
        <v>✓</v>
      </c>
      <c r="M14" s="35"/>
      <c r="N14" s="36">
        <f>IFERROR(__xludf.DUMMYFUNCTION("""COMPUTED_VALUE"""),0.43)</f>
        <v>0.43</v>
      </c>
      <c r="O14" s="35"/>
      <c r="P14" s="37"/>
      <c r="Q14" s="37"/>
      <c r="R14" s="37">
        <f>IFERROR(__xludf.DUMMYFUNCTION("""COMPUTED_VALUE"""),2200.0)</f>
        <v>2200</v>
      </c>
      <c r="S14" s="38">
        <f>IFERROR(__xludf.DUMMYFUNCTION("""COMPUTED_VALUE"""),45080.0)</f>
        <v>45080</v>
      </c>
      <c r="T14" s="35"/>
      <c r="U14" s="35"/>
      <c r="V14" s="35"/>
      <c r="W14" s="35"/>
      <c r="X14" s="35"/>
      <c r="Y14" s="35"/>
      <c r="Z14" s="35"/>
    </row>
    <row r="15">
      <c r="A15" s="35" t="str">
        <f>IFERROR(__xludf.DUMMYFUNCTION("""COMPUTED_VALUE"""),"JP")</f>
        <v>JP</v>
      </c>
      <c r="B15" s="35" t="str">
        <f>IFERROR(__xludf.DUMMYFUNCTION("""COMPUTED_VALUE"""),"ニッカ")</f>
        <v>ニッカ</v>
      </c>
      <c r="C15" s="35" t="str">
        <f>IFERROR(__xludf.DUMMYFUNCTION("""COMPUTED_VALUE"""),"ニッカ")</f>
        <v>ニッカ</v>
      </c>
      <c r="D15" s="35" t="str">
        <f>IFERROR(__xludf.DUMMYFUNCTION("""COMPUTED_VALUE"""),"余市")</f>
        <v>余市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IFERROR(__xludf.DUMMYFUNCTION("""COMPUTED_VALUE"""),"余市")</f>
        <v>余市</v>
      </c>
      <c r="H15" s="35"/>
      <c r="I15" s="35"/>
      <c r="J15" s="34"/>
      <c r="K15" s="34"/>
      <c r="L15" s="35" t="str">
        <f>IFERROR(__xludf.DUMMYFUNCTION("""COMPUTED_VALUE"""),"✓")</f>
        <v>✓</v>
      </c>
      <c r="M15" s="35"/>
      <c r="N15" s="36">
        <f>IFERROR(__xludf.DUMMYFUNCTION("""COMPUTED_VALUE"""),0.45)</f>
        <v>0.45</v>
      </c>
      <c r="O15" s="35"/>
      <c r="P15" s="37">
        <f>IFERROR(__xludf.DUMMYFUNCTION("""COMPUTED_VALUE"""),1300.0)</f>
        <v>1300</v>
      </c>
      <c r="Q15" s="37">
        <f>IFERROR(__xludf.DUMMYFUNCTION("""COMPUTED_VALUE"""),750.0)</f>
        <v>750</v>
      </c>
      <c r="R15" s="37"/>
      <c r="S15" s="38"/>
      <c r="T15" s="35"/>
      <c r="U15" s="35"/>
      <c r="V15" s="35"/>
      <c r="W15" s="35"/>
      <c r="X15" s="35"/>
      <c r="Y15" s="35"/>
      <c r="Z15" s="35"/>
    </row>
    <row r="16">
      <c r="A16" s="35" t="str">
        <f>IFERROR(__xludf.DUMMYFUNCTION("""COMPUTED_VALUE"""),"JP")</f>
        <v>JP</v>
      </c>
      <c r="B16" s="35" t="str">
        <f>IFERROR(__xludf.DUMMYFUNCTION("""COMPUTED_VALUE"""),"ニッカ")</f>
        <v>ニッカ</v>
      </c>
      <c r="C16" s="35" t="str">
        <f>IFERROR(__xludf.DUMMYFUNCTION("""COMPUTED_VALUE"""),"ニッカ")</f>
        <v>ニッカ</v>
      </c>
      <c r="D16" s="35" t="str">
        <f>IFERROR(__xludf.DUMMYFUNCTION("""COMPUTED_VALUE"""),"余市")</f>
        <v>余市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IFERROR(__xludf.DUMMYFUNCTION("""COMPUTED_VALUE"""),"余市 旧ボトル")</f>
        <v>余市 旧ボトル</v>
      </c>
      <c r="H16" s="35"/>
      <c r="I16" s="35"/>
      <c r="J16" s="34"/>
      <c r="K16" s="34"/>
      <c r="L16" s="35"/>
      <c r="M16" s="35"/>
      <c r="N16" s="36">
        <f>IFERROR(__xludf.DUMMYFUNCTION("""COMPUTED_VALUE"""),0.43)</f>
        <v>0.43</v>
      </c>
      <c r="O16" s="35"/>
      <c r="P16" s="37">
        <f>IFERROR(__xludf.DUMMYFUNCTION("""COMPUTED_VALUE"""),1500.0)</f>
        <v>1500</v>
      </c>
      <c r="Q16" s="37">
        <f>IFERROR(__xludf.DUMMYFUNCTION("""COMPUTED_VALUE"""),850.0)</f>
        <v>850</v>
      </c>
      <c r="R16" s="37"/>
      <c r="S16" s="38"/>
      <c r="T16" s="35"/>
      <c r="U16" s="35"/>
      <c r="V16" s="35"/>
      <c r="W16" s="35"/>
      <c r="X16" s="35"/>
      <c r="Y16" s="35"/>
      <c r="Z16" s="35"/>
    </row>
    <row r="17">
      <c r="A17" s="35" t="str">
        <f>IFERROR(__xludf.DUMMYFUNCTION("""COMPUTED_VALUE"""),"JP")</f>
        <v>JP</v>
      </c>
      <c r="B17" s="35" t="str">
        <f>IFERROR(__xludf.DUMMYFUNCTION("""COMPUTED_VALUE"""),"ニッカ")</f>
        <v>ニッカ</v>
      </c>
      <c r="C17" s="35" t="str">
        <f>IFERROR(__xludf.DUMMYFUNCTION("""COMPUTED_VALUE"""),"ニッカ")</f>
        <v>ニッカ</v>
      </c>
      <c r="D17" s="35" t="str">
        <f>IFERROR(__xludf.DUMMYFUNCTION("""COMPUTED_VALUE"""),"余市")</f>
        <v>余市</v>
      </c>
      <c r="E17" s="35" t="str">
        <f>IFERROR(__xludf.DUMMYFUNCTION("""COMPUTED_VALUE"""),"シングルモルト")</f>
        <v>シングルモルト</v>
      </c>
      <c r="F17" s="35"/>
      <c r="G17" s="35" t="str">
        <f>IFERROR(__xludf.DUMMYFUNCTION("""COMPUTED_VALUE"""),"余市 10年")</f>
        <v>余市 10年</v>
      </c>
      <c r="H17" s="35"/>
      <c r="I17" s="35"/>
      <c r="J17" s="34"/>
      <c r="K17" s="34"/>
      <c r="L17" s="35" t="str">
        <f>IFERROR(__xludf.DUMMYFUNCTION("""COMPUTED_VALUE"""),"✓")</f>
        <v>✓</v>
      </c>
      <c r="M17" s="35"/>
      <c r="N17" s="36">
        <f>IFERROR(__xludf.DUMMYFUNCTION("""COMPUTED_VALUE"""),0.45)</f>
        <v>0.45</v>
      </c>
      <c r="O17" s="35"/>
      <c r="P17" s="37">
        <f>IFERROR(__xludf.DUMMYFUNCTION("""COMPUTED_VALUE"""),2400.0)</f>
        <v>2400</v>
      </c>
      <c r="Q17" s="37">
        <f>IFERROR(__xludf.DUMMYFUNCTION("""COMPUTED_VALUE"""),1300.0)</f>
        <v>1300</v>
      </c>
      <c r="R17" s="37"/>
      <c r="S17" s="38">
        <f>IFERROR(__xludf.DUMMYFUNCTION("""COMPUTED_VALUE"""),45041.0)</f>
        <v>45041</v>
      </c>
      <c r="T17" s="35"/>
      <c r="U17" s="35"/>
      <c r="V17" s="35"/>
      <c r="W17" s="35"/>
      <c r="X17" s="35"/>
      <c r="Y17" s="35"/>
      <c r="Z17" s="35"/>
    </row>
    <row r="18">
      <c r="A18" s="35" t="str">
        <f>IFERROR(__xludf.DUMMYFUNCTION("""COMPUTED_VALUE"""),"JP")</f>
        <v>JP</v>
      </c>
      <c r="B18" s="35" t="str">
        <f>IFERROR(__xludf.DUMMYFUNCTION("""COMPUTED_VALUE"""),"ニッカ")</f>
        <v>ニッカ</v>
      </c>
      <c r="C18" s="35" t="str">
        <f>IFERROR(__xludf.DUMMYFUNCTION("""COMPUTED_VALUE"""),"ニッカ")</f>
        <v>ニッカ</v>
      </c>
      <c r="D18" s="35" t="str">
        <f>IFERROR(__xludf.DUMMYFUNCTION("""COMPUTED_VALUE"""),"余市")</f>
        <v>余市</v>
      </c>
      <c r="E18" s="35" t="str">
        <f>IFERROR(__xludf.DUMMYFUNCTION("""COMPUTED_VALUE"""),"シングルモルト")</f>
        <v>シングルモルト</v>
      </c>
      <c r="F18" s="35"/>
      <c r="G18" s="35" t="str">
        <f>IFERROR(__xludf.DUMMYFUNCTION("""COMPUTED_VALUE"""),"余市 12年")</f>
        <v>余市 12年</v>
      </c>
      <c r="H18" s="35"/>
      <c r="I18" s="35"/>
      <c r="J18" s="34"/>
      <c r="K18" s="34"/>
      <c r="L18" s="35"/>
      <c r="M18" s="35"/>
      <c r="N18" s="36">
        <f>IFERROR(__xludf.DUMMYFUNCTION("""COMPUTED_VALUE"""),0.45)</f>
        <v>0.45</v>
      </c>
      <c r="O18" s="35"/>
      <c r="P18" s="37">
        <f>IFERROR(__xludf.DUMMYFUNCTION("""COMPUTED_VALUE"""),2600.0)</f>
        <v>2600</v>
      </c>
      <c r="Q18" s="37">
        <f>IFERROR(__xludf.DUMMYFUNCTION("""COMPUTED_VALUE"""),1400.0)</f>
        <v>1400</v>
      </c>
      <c r="R18" s="37"/>
      <c r="S18" s="38">
        <f>IFERROR(__xludf.DUMMYFUNCTION("""COMPUTED_VALUE"""),44888.0)</f>
        <v>44888</v>
      </c>
      <c r="T18" s="35"/>
      <c r="U18" s="35"/>
      <c r="V18" s="35"/>
      <c r="W18" s="35"/>
      <c r="X18" s="35"/>
      <c r="Y18" s="35"/>
      <c r="Z18" s="35"/>
    </row>
    <row r="19">
      <c r="A19" s="35" t="str">
        <f>IFERROR(__xludf.DUMMYFUNCTION("""COMPUTED_VALUE"""),"JP")</f>
        <v>JP</v>
      </c>
      <c r="B19" s="35" t="str">
        <f>IFERROR(__xludf.DUMMYFUNCTION("""COMPUTED_VALUE"""),"ニッカ")</f>
        <v>ニッカ</v>
      </c>
      <c r="C19" s="35" t="str">
        <f>IFERROR(__xludf.DUMMYFUNCTION("""COMPUTED_VALUE"""),"ニッカ")</f>
        <v>ニッカ</v>
      </c>
      <c r="D19" s="35" t="str">
        <f>IFERROR(__xludf.DUMMYFUNCTION("""COMPUTED_VALUE"""),"余市")</f>
        <v>余市</v>
      </c>
      <c r="E19" s="35" t="str">
        <f>IFERROR(__xludf.DUMMYFUNCTION("""COMPUTED_VALUE"""),"シングルモルト")</f>
        <v>シングルモルト</v>
      </c>
      <c r="F19" s="35"/>
      <c r="G19" s="35" t="str">
        <f>IFERROR(__xludf.DUMMYFUNCTION("""COMPUTED_VALUE"""),"余市 グランデ")</f>
        <v>余市 グランデ</v>
      </c>
      <c r="H19" s="35" t="str">
        <f>IFERROR(__xludf.DUMMYFUNCTION("""COMPUTED_VALUE"""),"免税店限定")</f>
        <v>免税店限定</v>
      </c>
      <c r="I19" s="35"/>
      <c r="J19" s="34"/>
      <c r="K19" s="34"/>
      <c r="L19" s="35" t="str">
        <f>IFERROR(__xludf.DUMMYFUNCTION("""COMPUTED_VALUE"""),"✓")</f>
        <v>✓</v>
      </c>
      <c r="M19" s="35"/>
      <c r="N19" s="36">
        <f>IFERROR(__xludf.DUMMYFUNCTION("""COMPUTED_VALUE"""),0.48)</f>
        <v>0.48</v>
      </c>
      <c r="O19" s="35"/>
      <c r="P19" s="37">
        <f>IFERROR(__xludf.DUMMYFUNCTION("""COMPUTED_VALUE"""),2200.0)</f>
        <v>2200</v>
      </c>
      <c r="Q19" s="37">
        <f>IFERROR(__xludf.DUMMYFUNCTION("""COMPUTED_VALUE"""),1200.0)</f>
        <v>1200</v>
      </c>
      <c r="R19" s="37"/>
      <c r="S19" s="38">
        <f>IFERROR(__xludf.DUMMYFUNCTION("""COMPUTED_VALUE"""),44970.0)</f>
        <v>44970</v>
      </c>
      <c r="T19" s="35"/>
      <c r="U19" s="35"/>
      <c r="V19" s="35"/>
      <c r="W19" s="35"/>
      <c r="X19" s="35"/>
      <c r="Y19" s="35"/>
      <c r="Z19" s="35"/>
    </row>
    <row r="20">
      <c r="A20" s="35" t="str">
        <f>IFERROR(__xludf.DUMMYFUNCTION("""COMPUTED_VALUE"""),"JP")</f>
        <v>JP</v>
      </c>
      <c r="B20" s="35" t="str">
        <f>IFERROR(__xludf.DUMMYFUNCTION("""COMPUTED_VALUE"""),"ニッカ")</f>
        <v>ニッカ</v>
      </c>
      <c r="C20" s="35" t="str">
        <f>IFERROR(__xludf.DUMMYFUNCTION("""COMPUTED_VALUE"""),"ニッカ")</f>
        <v>ニッカ</v>
      </c>
      <c r="D20" s="35" t="str">
        <f>IFERROR(__xludf.DUMMYFUNCTION("""COMPUTED_VALUE"""),"余市")</f>
        <v>余市</v>
      </c>
      <c r="E20" s="35" t="str">
        <f>IFERROR(__xludf.DUMMYFUNCTION("""COMPUTED_VALUE"""),"シングルモルト")</f>
        <v>シングルモルト</v>
      </c>
      <c r="F20" s="35"/>
      <c r="G20" s="35" t="str">
        <f>IFERROR(__xludf.DUMMYFUNCTION("""COMPUTED_VALUE"""),"余市 ウッディ＆バニリック")</f>
        <v>余市 ウッディ＆バニリック</v>
      </c>
      <c r="H20" s="35" t="str">
        <f>IFERROR(__xludf.DUMMYFUNCTION("""COMPUTED_VALUE"""),"蒸溜所限定")</f>
        <v>蒸溜所限定</v>
      </c>
      <c r="I20" s="35"/>
      <c r="J20" s="34"/>
      <c r="K20" s="34"/>
      <c r="L20" s="35" t="str">
        <f>IFERROR(__xludf.DUMMYFUNCTION("""COMPUTED_VALUE"""),"✓")</f>
        <v>✓</v>
      </c>
      <c r="M20" s="35"/>
      <c r="N20" s="36">
        <f>IFERROR(__xludf.DUMMYFUNCTION("""COMPUTED_VALUE"""),0.55)</f>
        <v>0.55</v>
      </c>
      <c r="O20" s="35"/>
      <c r="P20" s="37">
        <f>IFERROR(__xludf.DUMMYFUNCTION("""COMPUTED_VALUE"""),2000.0)</f>
        <v>2000</v>
      </c>
      <c r="Q20" s="37">
        <f>IFERROR(__xludf.DUMMYFUNCTION("""COMPUTED_VALUE"""),1100.0)</f>
        <v>1100</v>
      </c>
      <c r="R20" s="37"/>
      <c r="S20" s="38">
        <f>IFERROR(__xludf.DUMMYFUNCTION("""COMPUTED_VALUE"""),45615.0)</f>
        <v>45615</v>
      </c>
      <c r="T20" s="35"/>
      <c r="U20" s="35"/>
      <c r="V20" s="35"/>
      <c r="W20" s="35"/>
      <c r="X20" s="35"/>
      <c r="Y20" s="35"/>
      <c r="Z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IFERROR(__xludf.DUMMYFUNCTION("""COMPUTED_VALUE"""),"ニッカ")</f>
        <v>ニッカ</v>
      </c>
      <c r="C21" s="35" t="str">
        <f>IFERROR(__xludf.DUMMYFUNCTION("""COMPUTED_VALUE"""),"ニッカ")</f>
        <v>ニッカ</v>
      </c>
      <c r="D21" s="35" t="str">
        <f>IFERROR(__xludf.DUMMYFUNCTION("""COMPUTED_VALUE"""),"余市")</f>
        <v>余市</v>
      </c>
      <c r="E21" s="35" t="str">
        <f>IFERROR(__xludf.DUMMYFUNCTION("""COMPUTED_VALUE"""),"シングルモルト")</f>
        <v>シングルモルト</v>
      </c>
      <c r="F21" s="35"/>
      <c r="G21" s="35" t="str">
        <f>IFERROR(__xludf.DUMMYFUNCTION("""COMPUTED_VALUE"""),"余市 シェリー＆スイート")</f>
        <v>余市 シェリー＆スイート</v>
      </c>
      <c r="H21" s="35" t="str">
        <f>IFERROR(__xludf.DUMMYFUNCTION("""COMPUTED_VALUE"""),"蒸溜所限定")</f>
        <v>蒸溜所限定</v>
      </c>
      <c r="I21" s="35"/>
      <c r="J21" s="34"/>
      <c r="K21" s="34"/>
      <c r="L21" s="35" t="str">
        <f>IFERROR(__xludf.DUMMYFUNCTION("""COMPUTED_VALUE"""),"✓")</f>
        <v>✓</v>
      </c>
      <c r="M21" s="35"/>
      <c r="N21" s="36">
        <f>IFERROR(__xludf.DUMMYFUNCTION("""COMPUTED_VALUE"""),0.55)</f>
        <v>0.55</v>
      </c>
      <c r="O21" s="35"/>
      <c r="P21" s="37">
        <f>IFERROR(__xludf.DUMMYFUNCTION("""COMPUTED_VALUE"""),2000.0)</f>
        <v>2000</v>
      </c>
      <c r="Q21" s="37">
        <f>IFERROR(__xludf.DUMMYFUNCTION("""COMPUTED_VALUE"""),1100.0)</f>
        <v>1100</v>
      </c>
      <c r="R21" s="37"/>
      <c r="S21" s="38">
        <f>IFERROR(__xludf.DUMMYFUNCTION("""COMPUTED_VALUE"""),45614.0)</f>
        <v>45614</v>
      </c>
      <c r="T21" s="35"/>
      <c r="U21" s="35"/>
      <c r="V21" s="35"/>
      <c r="W21" s="35"/>
      <c r="X21" s="35"/>
      <c r="Y21" s="35"/>
      <c r="Z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IFERROR(__xludf.DUMMYFUNCTION("""COMPUTED_VALUE"""),"ニッカ")</f>
        <v>ニッカ</v>
      </c>
      <c r="C22" s="35" t="str">
        <f>IFERROR(__xludf.DUMMYFUNCTION("""COMPUTED_VALUE"""),"ニッカ")</f>
        <v>ニッカ</v>
      </c>
      <c r="D22" s="35" t="str">
        <f>IFERROR(__xludf.DUMMYFUNCTION("""COMPUTED_VALUE"""),"余市")</f>
        <v>余市</v>
      </c>
      <c r="E22" s="35" t="str">
        <f>IFERROR(__xludf.DUMMYFUNCTION("""COMPUTED_VALUE"""),"シングルモルト")</f>
        <v>シングルモルト</v>
      </c>
      <c r="F22" s="35"/>
      <c r="G22" s="35" t="str">
        <f>IFERROR(__xludf.DUMMYFUNCTION("""COMPUTED_VALUE"""),"余市 ピーティ＆ソルティ")</f>
        <v>余市 ピーティ＆ソルティ</v>
      </c>
      <c r="H22" s="35" t="str">
        <f>IFERROR(__xludf.DUMMYFUNCTION("""COMPUTED_VALUE"""),"蒸溜所限定")</f>
        <v>蒸溜所限定</v>
      </c>
      <c r="I22" s="35"/>
      <c r="J22" s="34"/>
      <c r="K22" s="34"/>
      <c r="L22" s="35" t="str">
        <f>IFERROR(__xludf.DUMMYFUNCTION("""COMPUTED_VALUE"""),"✓")</f>
        <v>✓</v>
      </c>
      <c r="M22" s="35"/>
      <c r="N22" s="36">
        <f>IFERROR(__xludf.DUMMYFUNCTION("""COMPUTED_VALUE"""),0.55)</f>
        <v>0.55</v>
      </c>
      <c r="O22" s="35"/>
      <c r="P22" s="37">
        <f>IFERROR(__xludf.DUMMYFUNCTION("""COMPUTED_VALUE"""),2000.0)</f>
        <v>2000</v>
      </c>
      <c r="Q22" s="37">
        <f>IFERROR(__xludf.DUMMYFUNCTION("""COMPUTED_VALUE"""),1100.0)</f>
        <v>1100</v>
      </c>
      <c r="R22" s="37"/>
      <c r="S22" s="38">
        <f>IFERROR(__xludf.DUMMYFUNCTION("""COMPUTED_VALUE"""),45613.0)</f>
        <v>45613</v>
      </c>
      <c r="T22" s="35"/>
      <c r="U22" s="35"/>
      <c r="V22" s="35"/>
      <c r="W22" s="35"/>
      <c r="X22" s="35"/>
      <c r="Y22" s="35"/>
      <c r="Z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IFERROR(__xludf.DUMMYFUNCTION("""COMPUTED_VALUE"""),"ニッカ")</f>
        <v>ニッカ</v>
      </c>
      <c r="C23" s="35" t="str">
        <f>IFERROR(__xludf.DUMMYFUNCTION("""COMPUTED_VALUE"""),"ニッカ")</f>
        <v>ニッカ</v>
      </c>
      <c r="D23" s="35" t="str">
        <f>IFERROR(__xludf.DUMMYFUNCTION("""COMPUTED_VALUE"""),"余市")</f>
        <v>余市</v>
      </c>
      <c r="E23" s="35" t="str">
        <f>IFERROR(__xludf.DUMMYFUNCTION("""COMPUTED_VALUE"""),"シングルモルト")</f>
        <v>シングルモルト</v>
      </c>
      <c r="F23" s="35"/>
      <c r="G23" s="35" t="str">
        <f>IFERROR(__xludf.DUMMYFUNCTION("""COMPUTED_VALUE"""),"余市 モスカテルウッドフィニッシュ")</f>
        <v>余市 モスカテルウッドフィニッシュ</v>
      </c>
      <c r="H23" s="35"/>
      <c r="I23" s="35"/>
      <c r="J23" s="34"/>
      <c r="K23" s="34"/>
      <c r="L23" s="35"/>
      <c r="M23" s="35"/>
      <c r="N23" s="36">
        <f>IFERROR(__xludf.DUMMYFUNCTION("""COMPUTED_VALUE"""),0.46)</f>
        <v>0.46</v>
      </c>
      <c r="O23" s="35">
        <f>IFERROR(__xludf.DUMMYFUNCTION("""COMPUTED_VALUE"""),3500.0)</f>
        <v>3500</v>
      </c>
      <c r="P23" s="37">
        <f>IFERROR(__xludf.DUMMYFUNCTION("""COMPUTED_VALUE"""),3000.0)</f>
        <v>3000</v>
      </c>
      <c r="Q23" s="37">
        <f>IFERROR(__xludf.DUMMYFUNCTION("""COMPUTED_VALUE"""),1600.0)</f>
        <v>1600</v>
      </c>
      <c r="R23" s="37"/>
      <c r="S23" s="38">
        <f>IFERROR(__xludf.DUMMYFUNCTION("""COMPUTED_VALUE"""),45215.0)</f>
        <v>45215</v>
      </c>
      <c r="T23" s="35"/>
      <c r="U23" s="35"/>
      <c r="V23" s="35"/>
      <c r="W23" s="35"/>
      <c r="X23" s="35"/>
      <c r="Y23" s="35"/>
      <c r="Z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IFERROR(__xludf.DUMMYFUNCTION("""COMPUTED_VALUE"""),"ニッカ")</f>
        <v>ニッカ</v>
      </c>
      <c r="C24" s="35" t="str">
        <f>IFERROR(__xludf.DUMMYFUNCTION("""COMPUTED_VALUE"""),"ニッカ")</f>
        <v>ニッカ</v>
      </c>
      <c r="D24" s="35" t="str">
        <f>IFERROR(__xludf.DUMMYFUNCTION("""COMPUTED_VALUE"""),"余市")</f>
        <v>余市</v>
      </c>
      <c r="E24" s="35" t="str">
        <f>IFERROR(__xludf.DUMMYFUNCTION("""COMPUTED_VALUE"""),"シングルモルト")</f>
        <v>シングルモルト</v>
      </c>
      <c r="F24" s="35"/>
      <c r="G24" s="35" t="str">
        <f>IFERROR(__xludf.DUMMYFUNCTION("""COMPUTED_VALUE"""),"余市 マンサニーリャウッドフィニッシュ")</f>
        <v>余市 マンサニーリャウッドフィニッシュ</v>
      </c>
      <c r="H24" s="35"/>
      <c r="I24" s="35"/>
      <c r="J24" s="34"/>
      <c r="K24" s="34"/>
      <c r="L24" s="35"/>
      <c r="M24" s="35"/>
      <c r="N24" s="36">
        <f>IFERROR(__xludf.DUMMYFUNCTION("""COMPUTED_VALUE"""),0.48)</f>
        <v>0.48</v>
      </c>
      <c r="O24" s="35">
        <f>IFERROR(__xludf.DUMMYFUNCTION("""COMPUTED_VALUE"""),4000.0)</f>
        <v>4000</v>
      </c>
      <c r="P24" s="37">
        <f>IFERROR(__xludf.DUMMYFUNCTION("""COMPUTED_VALUE"""),3000.0)</f>
        <v>3000</v>
      </c>
      <c r="Q24" s="37">
        <f>IFERROR(__xludf.DUMMYFUNCTION("""COMPUTED_VALUE"""),1600.0)</f>
        <v>1600</v>
      </c>
      <c r="R24" s="37"/>
      <c r="S24" s="38">
        <f>IFERROR(__xludf.DUMMYFUNCTION("""COMPUTED_VALUE"""),45221.0)</f>
        <v>45221</v>
      </c>
      <c r="T24" s="35"/>
      <c r="U24" s="35"/>
      <c r="V24" s="35"/>
      <c r="W24" s="35"/>
      <c r="X24" s="35"/>
      <c r="Y24" s="35"/>
      <c r="Z24" s="35"/>
    </row>
    <row r="25" ht="15.75" customHeight="1">
      <c r="A25" s="35" t="str">
        <f>IFERROR(__xludf.DUMMYFUNCTION("""COMPUTED_VALUE"""),"JP")</f>
        <v>JP</v>
      </c>
      <c r="B25" s="39" t="str">
        <f>IFERROR(__xludf.DUMMYFUNCTION("""COMPUTED_VALUE"""),"ニッカ")</f>
        <v>ニッカ</v>
      </c>
      <c r="C25" s="35" t="str">
        <f>IFERROR(__xludf.DUMMYFUNCTION("""COMPUTED_VALUE"""),"ニッカ")</f>
        <v>ニッカ</v>
      </c>
      <c r="D25" s="35" t="str">
        <f>IFERROR(__xludf.DUMMYFUNCTION("""COMPUTED_VALUE"""),"余市")</f>
        <v>余市</v>
      </c>
      <c r="E25" s="35" t="str">
        <f>IFERROR(__xludf.DUMMYFUNCTION("""COMPUTED_VALUE"""),"シングルモルト")</f>
        <v>シングルモルト</v>
      </c>
      <c r="F25" s="35"/>
      <c r="G25" s="35" t="str">
        <f>IFERROR(__xludf.DUMMYFUNCTION("""COMPUTED_VALUE"""),"余市 アップルブランデーウッドフィニッシュ")</f>
        <v>余市 アップルブランデーウッドフィニッシュ</v>
      </c>
      <c r="H25" s="35"/>
      <c r="I25" s="35"/>
      <c r="J25" s="34"/>
      <c r="K25" s="34"/>
      <c r="L25" s="35"/>
      <c r="M25" s="35"/>
      <c r="N25" s="36">
        <f>IFERROR(__xludf.DUMMYFUNCTION("""COMPUTED_VALUE"""),0.47)</f>
        <v>0.47</v>
      </c>
      <c r="O25" s="35">
        <f>IFERROR(__xludf.DUMMYFUNCTION("""COMPUTED_VALUE"""),6700.0)</f>
        <v>6700</v>
      </c>
      <c r="P25" s="37">
        <f>IFERROR(__xludf.DUMMYFUNCTION("""COMPUTED_VALUE"""),3000.0)</f>
        <v>3000</v>
      </c>
      <c r="Q25" s="37">
        <f>IFERROR(__xludf.DUMMYFUNCTION("""COMPUTED_VALUE"""),1600.0)</f>
        <v>1600</v>
      </c>
      <c r="R25" s="37"/>
      <c r="S25" s="38">
        <f>IFERROR(__xludf.DUMMYFUNCTION("""COMPUTED_VALUE"""),45224.0)</f>
        <v>45224</v>
      </c>
      <c r="T25" s="35"/>
      <c r="U25" s="35"/>
      <c r="V25" s="35"/>
      <c r="W25" s="35"/>
      <c r="X25" s="35"/>
      <c r="Y25" s="35"/>
      <c r="Z25" s="35"/>
    </row>
    <row r="26" ht="15.75" customHeight="1">
      <c r="A26" s="35" t="str">
        <f>IFERROR(__xludf.DUMMYFUNCTION("""COMPUTED_VALUE"""),"JP")</f>
        <v>JP</v>
      </c>
      <c r="B26" s="39" t="str">
        <f>IFERROR(__xludf.DUMMYFUNCTION("""COMPUTED_VALUE"""),"ニッカ")</f>
        <v>ニッカ</v>
      </c>
      <c r="C26" s="35" t="str">
        <f>IFERROR(__xludf.DUMMYFUNCTION("""COMPUTED_VALUE"""),"ニッカ")</f>
        <v>ニッカ</v>
      </c>
      <c r="D26" s="35" t="str">
        <f>IFERROR(__xludf.DUMMYFUNCTION("""COMPUTED_VALUE"""),"余市")</f>
        <v>余市</v>
      </c>
      <c r="E26" s="35" t="str">
        <f>IFERROR(__xludf.DUMMYFUNCTION("""COMPUTED_VALUE"""),"シングルモルト")</f>
        <v>シングルモルト</v>
      </c>
      <c r="F26" s="35"/>
      <c r="G26" s="35" t="str">
        <f>IFERROR(__xludf.DUMMYFUNCTION("""COMPUTED_VALUE"""),"余市 ノンピーテッド")</f>
        <v>余市 ノンピーテッド</v>
      </c>
      <c r="H26" s="35" t="str">
        <f>IFERROR(__xludf.DUMMYFUNCTION("""COMPUTED_VALUE"""),"ディスカバリーシリーズ")</f>
        <v>ディスカバリーシリーズ</v>
      </c>
      <c r="I26" s="35"/>
      <c r="J26" s="34"/>
      <c r="K26" s="34"/>
      <c r="L26" s="35"/>
      <c r="M26" s="35"/>
      <c r="N26" s="36">
        <f>IFERROR(__xludf.DUMMYFUNCTION("""COMPUTED_VALUE"""),0.47)</f>
        <v>0.47</v>
      </c>
      <c r="O26" s="35">
        <f>IFERROR(__xludf.DUMMYFUNCTION("""COMPUTED_VALUE"""),10000.0)</f>
        <v>10000</v>
      </c>
      <c r="P26" s="37">
        <f>IFERROR(__xludf.DUMMYFUNCTION("""COMPUTED_VALUE"""),3000.0)</f>
        <v>3000</v>
      </c>
      <c r="Q26" s="37">
        <f>IFERROR(__xludf.DUMMYFUNCTION("""COMPUTED_VALUE"""),1600.0)</f>
        <v>1600</v>
      </c>
      <c r="R26" s="37"/>
      <c r="S26" s="38">
        <f>IFERROR(__xludf.DUMMYFUNCTION("""COMPUTED_VALUE"""),44793.0)</f>
        <v>44793</v>
      </c>
      <c r="T26" s="35"/>
      <c r="U26" s="35"/>
      <c r="V26" s="35"/>
      <c r="W26" s="35"/>
      <c r="X26" s="35"/>
      <c r="Y26" s="35"/>
      <c r="Z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IFERROR(__xludf.DUMMYFUNCTION("""COMPUTED_VALUE"""),"ニッカ")</f>
        <v>ニッカ</v>
      </c>
      <c r="C27" s="35" t="str">
        <f>IFERROR(__xludf.DUMMYFUNCTION("""COMPUTED_VALUE"""),"ニッカ")</f>
        <v>ニッカ</v>
      </c>
      <c r="D27" s="35" t="str">
        <f>IFERROR(__xludf.DUMMYFUNCTION("""COMPUTED_VALUE"""),"余市")</f>
        <v>余市</v>
      </c>
      <c r="E27" s="35" t="str">
        <f>IFERROR(__xludf.DUMMYFUNCTION("""COMPUTED_VALUE"""),"シングルモルト")</f>
        <v>シングルモルト</v>
      </c>
      <c r="F27" s="35"/>
      <c r="G27" s="35" t="str">
        <f>IFERROR(__xludf.DUMMYFUNCTION("""COMPUTED_VALUE"""),"余市 アロマティックイースト")</f>
        <v>余市 アロマティックイースト</v>
      </c>
      <c r="H27" s="35" t="str">
        <f>IFERROR(__xludf.DUMMYFUNCTION("""COMPUTED_VALUE"""),"ディスカバリーシリーズ")</f>
        <v>ディスカバリーシリーズ</v>
      </c>
      <c r="I27" s="35"/>
      <c r="J27" s="34"/>
      <c r="K27" s="34"/>
      <c r="L27" s="35"/>
      <c r="M27" s="35"/>
      <c r="N27" s="36">
        <f>IFERROR(__xludf.DUMMYFUNCTION("""COMPUTED_VALUE"""),0.48)</f>
        <v>0.48</v>
      </c>
      <c r="O27" s="35">
        <f>IFERROR(__xludf.DUMMYFUNCTION("""COMPUTED_VALUE"""),10000.0)</f>
        <v>10000</v>
      </c>
      <c r="P27" s="37">
        <f>IFERROR(__xludf.DUMMYFUNCTION("""COMPUTED_VALUE"""),3000.0)</f>
        <v>3000</v>
      </c>
      <c r="Q27" s="37">
        <f>IFERROR(__xludf.DUMMYFUNCTION("""COMPUTED_VALUE"""),1600.0)</f>
        <v>1600</v>
      </c>
      <c r="R27" s="37"/>
      <c r="S27" s="38">
        <f>IFERROR(__xludf.DUMMYFUNCTION("""COMPUTED_VALUE"""),45244.0)</f>
        <v>45244</v>
      </c>
      <c r="T27" s="35"/>
      <c r="U27" s="35"/>
      <c r="V27" s="35"/>
      <c r="W27" s="35"/>
      <c r="X27" s="35"/>
      <c r="Y27" s="35"/>
      <c r="Z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IFERROR(__xludf.DUMMYFUNCTION("""COMPUTED_VALUE"""),"ニッカ")</f>
        <v>ニッカ</v>
      </c>
      <c r="C28" s="35" t="str">
        <f>IFERROR(__xludf.DUMMYFUNCTION("""COMPUTED_VALUE"""),"北海道海洋熟成")</f>
        <v>北海道海洋熟成</v>
      </c>
      <c r="D28" s="35"/>
      <c r="E28" s="35" t="str">
        <f>IFERROR(__xludf.DUMMYFUNCTION("""COMPUTED_VALUE"""),"シングルモルト")</f>
        <v>シングルモルト</v>
      </c>
      <c r="F28" s="35"/>
      <c r="G28" s="35" t="str">
        <f>IFERROR(__xludf.DUMMYFUNCTION("""COMPUTED_VALUE"""),"12ヶ月海底熟成 北海道産ウイスキー")</f>
        <v>12ヶ月海底熟成 北海道産ウイスキー</v>
      </c>
      <c r="H28" s="35"/>
      <c r="I28" s="35"/>
      <c r="J28" s="34"/>
      <c r="K28" s="34"/>
      <c r="L28" s="35"/>
      <c r="M28" s="35"/>
      <c r="N28" s="36"/>
      <c r="O28" s="35"/>
      <c r="P28" s="37">
        <f>IFERROR(__xludf.DUMMYFUNCTION("""COMPUTED_VALUE"""),2600.0)</f>
        <v>2600</v>
      </c>
      <c r="Q28" s="37">
        <f>IFERROR(__xludf.DUMMYFUNCTION("""COMPUTED_VALUE"""),1400.0)</f>
        <v>1400</v>
      </c>
      <c r="R28" s="37"/>
      <c r="S28" s="38"/>
      <c r="T28" s="35"/>
      <c r="U28" s="35"/>
      <c r="V28" s="35"/>
      <c r="W28" s="35"/>
      <c r="X28" s="35"/>
      <c r="Y28" s="35"/>
      <c r="Z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IFERROR(__xludf.DUMMYFUNCTION("""COMPUTED_VALUE"""),"ニッカ")</f>
        <v>ニッカ</v>
      </c>
      <c r="C29" s="39" t="str">
        <f>IFERROR(__xludf.DUMMYFUNCTION("""COMPUTED_VALUE"""),"ニッカ")</f>
        <v>ニッカ</v>
      </c>
      <c r="D29" s="39" t="str">
        <f>IFERROR(__xludf.DUMMYFUNCTION("""COMPUTED_VALUE"""),"宮城峡")</f>
        <v>宮城峡</v>
      </c>
      <c r="E29" s="35" t="str">
        <f>IFERROR(__xludf.DUMMYFUNCTION("""COMPUTED_VALUE"""),"シングルモルト")</f>
        <v>シングルモルト</v>
      </c>
      <c r="F29" s="35"/>
      <c r="G29" s="35" t="str">
        <f>IFERROR(__xludf.DUMMYFUNCTION("""COMPUTED_VALUE"""),"宮城峡")</f>
        <v>宮城峡</v>
      </c>
      <c r="H29" s="35"/>
      <c r="I29" s="35"/>
      <c r="J29" s="34"/>
      <c r="K29" s="34"/>
      <c r="L29" s="35" t="str">
        <f>IFERROR(__xludf.DUMMYFUNCTION("""COMPUTED_VALUE"""),"✓")</f>
        <v>✓</v>
      </c>
      <c r="M29" s="35"/>
      <c r="N29" s="36">
        <f>IFERROR(__xludf.DUMMYFUNCTION("""COMPUTED_VALUE"""),0.45)</f>
        <v>0.45</v>
      </c>
      <c r="O29" s="35"/>
      <c r="P29" s="37">
        <f>IFERROR(__xludf.DUMMYFUNCTION("""COMPUTED_VALUE"""),1300.0)</f>
        <v>1300</v>
      </c>
      <c r="Q29" s="37">
        <f>IFERROR(__xludf.DUMMYFUNCTION("""COMPUTED_VALUE"""),750.0)</f>
        <v>750</v>
      </c>
      <c r="R29" s="37"/>
      <c r="S29" s="38"/>
      <c r="T29" s="35"/>
      <c r="U29" s="35"/>
      <c r="V29" s="35"/>
      <c r="W29" s="35"/>
      <c r="X29" s="35"/>
      <c r="Y29" s="35"/>
      <c r="Z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IFERROR(__xludf.DUMMYFUNCTION("""COMPUTED_VALUE"""),"ニッカ")</f>
        <v>ニッカ</v>
      </c>
      <c r="C30" s="35" t="str">
        <f>IFERROR(__xludf.DUMMYFUNCTION("""COMPUTED_VALUE"""),"ニッカ")</f>
        <v>ニッカ</v>
      </c>
      <c r="D30" s="39" t="str">
        <f>IFERROR(__xludf.DUMMYFUNCTION("""COMPUTED_VALUE"""),"宮城峡")</f>
        <v>宮城峡</v>
      </c>
      <c r="E30" s="35" t="str">
        <f>IFERROR(__xludf.DUMMYFUNCTION("""COMPUTED_VALUE"""),"シングルモルト")</f>
        <v>シングルモルト</v>
      </c>
      <c r="F30" s="35"/>
      <c r="G30" s="35" t="str">
        <f>IFERROR(__xludf.DUMMYFUNCTION("""COMPUTED_VALUE"""),"宮城峡 旧ボトル")</f>
        <v>宮城峡 旧ボトル</v>
      </c>
      <c r="H30" s="35"/>
      <c r="I30" s="35"/>
      <c r="J30" s="34"/>
      <c r="K30" s="34"/>
      <c r="L30" s="35"/>
      <c r="M30" s="35"/>
      <c r="N30" s="36">
        <f>IFERROR(__xludf.DUMMYFUNCTION("""COMPUTED_VALUE"""),0.43)</f>
        <v>0.43</v>
      </c>
      <c r="O30" s="35"/>
      <c r="P30" s="37">
        <f>IFERROR(__xludf.DUMMYFUNCTION("""COMPUTED_VALUE"""),1500.0)</f>
        <v>1500</v>
      </c>
      <c r="Q30" s="37">
        <f>IFERROR(__xludf.DUMMYFUNCTION("""COMPUTED_VALUE"""),850.0)</f>
        <v>850</v>
      </c>
      <c r="R30" s="37"/>
      <c r="S30" s="38"/>
      <c r="T30" s="35"/>
      <c r="U30" s="35"/>
      <c r="V30" s="35"/>
      <c r="W30" s="35"/>
      <c r="X30" s="35"/>
      <c r="Y30" s="35"/>
      <c r="Z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IFERROR(__xludf.DUMMYFUNCTION("""COMPUTED_VALUE"""),"ニッカ")</f>
        <v>ニッカ</v>
      </c>
      <c r="C31" s="35" t="str">
        <f>IFERROR(__xludf.DUMMYFUNCTION("""COMPUTED_VALUE"""),"ニッカ")</f>
        <v>ニッカ</v>
      </c>
      <c r="D31" s="39" t="str">
        <f>IFERROR(__xludf.DUMMYFUNCTION("""COMPUTED_VALUE"""),"宮城峡")</f>
        <v>宮城峡</v>
      </c>
      <c r="E31" s="35" t="str">
        <f>IFERROR(__xludf.DUMMYFUNCTION("""COMPUTED_VALUE"""),"シングルモルト")</f>
        <v>シングルモルト</v>
      </c>
      <c r="F31" s="35"/>
      <c r="G31" s="35" t="str">
        <f>IFERROR(__xludf.DUMMYFUNCTION("""COMPUTED_VALUE"""),"宮城峡 10年")</f>
        <v>宮城峡 10年</v>
      </c>
      <c r="H31" s="35"/>
      <c r="I31" s="35"/>
      <c r="J31" s="34"/>
      <c r="K31" s="34"/>
      <c r="L31" s="35"/>
      <c r="M31" s="35"/>
      <c r="N31" s="36">
        <f>IFERROR(__xludf.DUMMYFUNCTION("""COMPUTED_VALUE"""),0.45)</f>
        <v>0.45</v>
      </c>
      <c r="O31" s="35"/>
      <c r="P31" s="37">
        <f>IFERROR(__xludf.DUMMYFUNCTION("""COMPUTED_VALUE"""),2200.0)</f>
        <v>2200</v>
      </c>
      <c r="Q31" s="37">
        <f>IFERROR(__xludf.DUMMYFUNCTION("""COMPUTED_VALUE"""),1200.0)</f>
        <v>1200</v>
      </c>
      <c r="R31" s="37"/>
      <c r="S31" s="38">
        <f>IFERROR(__xludf.DUMMYFUNCTION("""COMPUTED_VALUE"""),44882.0)</f>
        <v>44882</v>
      </c>
      <c r="T31" s="35"/>
      <c r="U31" s="35"/>
      <c r="V31" s="35"/>
      <c r="W31" s="35"/>
      <c r="X31" s="35"/>
      <c r="Y31" s="35"/>
      <c r="Z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IFERROR(__xludf.DUMMYFUNCTION("""COMPUTED_VALUE"""),"ニッカ")</f>
        <v>ニッカ</v>
      </c>
      <c r="C32" s="35" t="str">
        <f>IFERROR(__xludf.DUMMYFUNCTION("""COMPUTED_VALUE"""),"ニッカ")</f>
        <v>ニッカ</v>
      </c>
      <c r="D32" s="39" t="str">
        <f>IFERROR(__xludf.DUMMYFUNCTION("""COMPUTED_VALUE"""),"宮城峡")</f>
        <v>宮城峡</v>
      </c>
      <c r="E32" s="35" t="str">
        <f>IFERROR(__xludf.DUMMYFUNCTION("""COMPUTED_VALUE"""),"シングルモルト")</f>
        <v>シングルモルト</v>
      </c>
      <c r="F32" s="35"/>
      <c r="G32" s="35" t="str">
        <f>IFERROR(__xludf.DUMMYFUNCTION("""COMPUTED_VALUE"""),"宮城峡 12年")</f>
        <v>宮城峡 12年</v>
      </c>
      <c r="H32" s="35"/>
      <c r="I32" s="35"/>
      <c r="J32" s="34"/>
      <c r="K32" s="34"/>
      <c r="L32" s="35"/>
      <c r="M32" s="35"/>
      <c r="N32" s="36">
        <f>IFERROR(__xludf.DUMMYFUNCTION("""COMPUTED_VALUE"""),0.45)</f>
        <v>0.45</v>
      </c>
      <c r="O32" s="35"/>
      <c r="P32" s="37">
        <f>IFERROR(__xludf.DUMMYFUNCTION("""COMPUTED_VALUE"""),2600.0)</f>
        <v>2600</v>
      </c>
      <c r="Q32" s="37">
        <f>IFERROR(__xludf.DUMMYFUNCTION("""COMPUTED_VALUE"""),1400.0)</f>
        <v>1400</v>
      </c>
      <c r="R32" s="37"/>
      <c r="S32" s="38">
        <f>IFERROR(__xludf.DUMMYFUNCTION("""COMPUTED_VALUE"""),44893.0)</f>
        <v>44893</v>
      </c>
      <c r="T32" s="35"/>
      <c r="U32" s="35"/>
      <c r="V32" s="35"/>
      <c r="W32" s="35"/>
      <c r="X32" s="35"/>
      <c r="Y32" s="35"/>
      <c r="Z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IFERROR(__xludf.DUMMYFUNCTION("""COMPUTED_VALUE"""),"ニッカ")</f>
        <v>ニッカ</v>
      </c>
      <c r="C33" s="35" t="str">
        <f>IFERROR(__xludf.DUMMYFUNCTION("""COMPUTED_VALUE"""),"ニッカ")</f>
        <v>ニッカ</v>
      </c>
      <c r="D33" s="39" t="str">
        <f>IFERROR(__xludf.DUMMYFUNCTION("""COMPUTED_VALUE"""),"宮城峡")</f>
        <v>宮城峡</v>
      </c>
      <c r="E33" s="35" t="str">
        <f>IFERROR(__xludf.DUMMYFUNCTION("""COMPUTED_VALUE"""),"シングルモルト")</f>
        <v>シングルモルト</v>
      </c>
      <c r="F33" s="35"/>
      <c r="G33" s="35" t="str">
        <f>IFERROR(__xludf.DUMMYFUNCTION("""COMPUTED_VALUE"""),"宮城峡 15年")</f>
        <v>宮城峡 15年</v>
      </c>
      <c r="H33" s="35"/>
      <c r="I33" s="35"/>
      <c r="J33" s="34"/>
      <c r="K33" s="34"/>
      <c r="L33" s="35"/>
      <c r="M33" s="35"/>
      <c r="N33" s="36">
        <f>IFERROR(__xludf.DUMMYFUNCTION("""COMPUTED_VALUE"""),0.45)</f>
        <v>0.45</v>
      </c>
      <c r="O33" s="35"/>
      <c r="P33" s="37">
        <f>IFERROR(__xludf.DUMMYFUNCTION("""COMPUTED_VALUE"""),4000.0)</f>
        <v>4000</v>
      </c>
      <c r="Q33" s="37">
        <f>IFERROR(__xludf.DUMMYFUNCTION("""COMPUTED_VALUE"""),2200.0)</f>
        <v>2200</v>
      </c>
      <c r="R33" s="37"/>
      <c r="S33" s="38">
        <f>IFERROR(__xludf.DUMMYFUNCTION("""COMPUTED_VALUE"""),45303.0)</f>
        <v>45303</v>
      </c>
      <c r="T33" s="35"/>
      <c r="U33" s="35"/>
      <c r="V33" s="35"/>
      <c r="W33" s="35"/>
      <c r="X33" s="35"/>
      <c r="Y33" s="35"/>
      <c r="Z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IFERROR(__xludf.DUMMYFUNCTION("""COMPUTED_VALUE"""),"ニッカ")</f>
        <v>ニッカ</v>
      </c>
      <c r="C34" s="35" t="str">
        <f>IFERROR(__xludf.DUMMYFUNCTION("""COMPUTED_VALUE"""),"ニッカ")</f>
        <v>ニッカ</v>
      </c>
      <c r="D34" s="35" t="str">
        <f>IFERROR(__xludf.DUMMYFUNCTION("""COMPUTED_VALUE"""),"宮城峡")</f>
        <v>宮城峡</v>
      </c>
      <c r="E34" s="35" t="str">
        <f>IFERROR(__xludf.DUMMYFUNCTION("""COMPUTED_VALUE"""),"シングルモルト")</f>
        <v>シングルモルト</v>
      </c>
      <c r="F34" s="35"/>
      <c r="G34" s="35" t="str">
        <f>IFERROR(__xludf.DUMMYFUNCTION("""COMPUTED_VALUE"""),"宮城峡 グランデ")</f>
        <v>宮城峡 グランデ</v>
      </c>
      <c r="H34" s="35" t="str">
        <f>IFERROR(__xludf.DUMMYFUNCTION("""COMPUTED_VALUE"""),"免税店限定")</f>
        <v>免税店限定</v>
      </c>
      <c r="I34" s="35"/>
      <c r="J34" s="34"/>
      <c r="K34" s="34"/>
      <c r="L34" s="35" t="str">
        <f>IFERROR(__xludf.DUMMYFUNCTION("""COMPUTED_VALUE"""),"✓")</f>
        <v>✓</v>
      </c>
      <c r="M34" s="35"/>
      <c r="N34" s="36">
        <f>IFERROR(__xludf.DUMMYFUNCTION("""COMPUTED_VALUE"""),0.48)</f>
        <v>0.48</v>
      </c>
      <c r="O34" s="35"/>
      <c r="P34" s="37">
        <f>IFERROR(__xludf.DUMMYFUNCTION("""COMPUTED_VALUE"""),2200.0)</f>
        <v>2200</v>
      </c>
      <c r="Q34" s="37">
        <f>IFERROR(__xludf.DUMMYFUNCTION("""COMPUTED_VALUE"""),1200.0)</f>
        <v>1200</v>
      </c>
      <c r="R34" s="37"/>
      <c r="S34" s="38">
        <f>IFERROR(__xludf.DUMMYFUNCTION("""COMPUTED_VALUE"""),44971.0)</f>
        <v>44971</v>
      </c>
      <c r="T34" s="35"/>
      <c r="U34" s="35"/>
      <c r="V34" s="35"/>
      <c r="W34" s="35"/>
      <c r="X34" s="35"/>
      <c r="Y34" s="35"/>
      <c r="Z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IFERROR(__xludf.DUMMYFUNCTION("""COMPUTED_VALUE"""),"ニッカ")</f>
        <v>ニッカ</v>
      </c>
      <c r="C35" s="35" t="str">
        <f>IFERROR(__xludf.DUMMYFUNCTION("""COMPUTED_VALUE"""),"ニッカ")</f>
        <v>ニッカ</v>
      </c>
      <c r="D35" s="35" t="str">
        <f>IFERROR(__xludf.DUMMYFUNCTION("""COMPUTED_VALUE"""),"宮城峡")</f>
        <v>宮城峡</v>
      </c>
      <c r="E35" s="35" t="str">
        <f>IFERROR(__xludf.DUMMYFUNCTION("""COMPUTED_VALUE"""),"シングルモルト")</f>
        <v>シングルモルト</v>
      </c>
      <c r="F35" s="35"/>
      <c r="G35" s="35" t="str">
        <f>IFERROR(__xludf.DUMMYFUNCTION("""COMPUTED_VALUE"""),"宮城峡 2000’")</f>
        <v>宮城峡 2000’</v>
      </c>
      <c r="H35" s="35" t="str">
        <f>IFERROR(__xludf.DUMMYFUNCTION("""COMPUTED_VALUE"""),"蒸溜所限定")</f>
        <v>蒸溜所限定</v>
      </c>
      <c r="I35" s="35"/>
      <c r="J35" s="34"/>
      <c r="K35" s="34"/>
      <c r="L35" s="35"/>
      <c r="M35" s="35"/>
      <c r="N35" s="36">
        <f>IFERROR(__xludf.DUMMYFUNCTION("""COMPUTED_VALUE"""),0.57)</f>
        <v>0.57</v>
      </c>
      <c r="O35" s="35"/>
      <c r="P35" s="37">
        <f>IFERROR(__xludf.DUMMYFUNCTION("""COMPUTED_VALUE"""),2600.0)</f>
        <v>2600</v>
      </c>
      <c r="Q35" s="37">
        <f>IFERROR(__xludf.DUMMYFUNCTION("""COMPUTED_VALUE"""),1400.0)</f>
        <v>1400</v>
      </c>
      <c r="R35" s="37"/>
      <c r="S35" s="38">
        <f>IFERROR(__xludf.DUMMYFUNCTION("""COMPUTED_VALUE"""),45267.0)</f>
        <v>45267</v>
      </c>
      <c r="T35" s="35"/>
      <c r="U35" s="35"/>
      <c r="V35" s="35"/>
      <c r="W35" s="35"/>
      <c r="X35" s="35"/>
      <c r="Y35" s="35"/>
      <c r="Z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IFERROR(__xludf.DUMMYFUNCTION("""COMPUTED_VALUE"""),"ニッカ")</f>
        <v>ニッカ</v>
      </c>
      <c r="C36" s="35" t="str">
        <f>IFERROR(__xludf.DUMMYFUNCTION("""COMPUTED_VALUE"""),"ニッカ")</f>
        <v>ニッカ</v>
      </c>
      <c r="D36" s="35" t="str">
        <f>IFERROR(__xludf.DUMMYFUNCTION("""COMPUTED_VALUE"""),"宮城峡")</f>
        <v>宮城峡</v>
      </c>
      <c r="E36" s="35" t="str">
        <f>IFERROR(__xludf.DUMMYFUNCTION("""COMPUTED_VALUE"""),"シングルモルト")</f>
        <v>シングルモルト</v>
      </c>
      <c r="F36" s="35"/>
      <c r="G36" s="35" t="str">
        <f>IFERROR(__xludf.DUMMYFUNCTION("""COMPUTED_VALUE"""),"宮城峡 フルーティ&amp;リッチ")</f>
        <v>宮城峡 フルーティ&amp;リッチ</v>
      </c>
      <c r="H36" s="35" t="str">
        <f>IFERROR(__xludf.DUMMYFUNCTION("""COMPUTED_VALUE"""),"蒸溜所限定")</f>
        <v>蒸溜所限定</v>
      </c>
      <c r="I36" s="35"/>
      <c r="J36" s="34"/>
      <c r="K36" s="34"/>
      <c r="L36" s="35" t="str">
        <f>IFERROR(__xludf.DUMMYFUNCTION("""COMPUTED_VALUE"""),"✓")</f>
        <v>✓</v>
      </c>
      <c r="M36" s="35"/>
      <c r="N36" s="36">
        <f>IFERROR(__xludf.DUMMYFUNCTION("""COMPUTED_VALUE"""),0.55)</f>
        <v>0.55</v>
      </c>
      <c r="O36" s="35"/>
      <c r="P36" s="37">
        <f>IFERROR(__xludf.DUMMYFUNCTION("""COMPUTED_VALUE"""),2000.0)</f>
        <v>2000</v>
      </c>
      <c r="Q36" s="37">
        <f>IFERROR(__xludf.DUMMYFUNCTION("""COMPUTED_VALUE"""),1100.0)</f>
        <v>1100</v>
      </c>
      <c r="R36" s="37"/>
      <c r="S36" s="38">
        <f>IFERROR(__xludf.DUMMYFUNCTION("""COMPUTED_VALUE"""),45304.0)</f>
        <v>45304</v>
      </c>
      <c r="T36" s="35"/>
      <c r="U36" s="35"/>
      <c r="V36" s="35"/>
      <c r="W36" s="35"/>
      <c r="X36" s="35"/>
      <c r="Y36" s="35"/>
      <c r="Z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IFERROR(__xludf.DUMMYFUNCTION("""COMPUTED_VALUE"""),"ニッカ")</f>
        <v>ニッカ</v>
      </c>
      <c r="C37" s="35" t="str">
        <f>IFERROR(__xludf.DUMMYFUNCTION("""COMPUTED_VALUE"""),"ニッカ")</f>
        <v>ニッカ</v>
      </c>
      <c r="D37" s="35" t="str">
        <f>IFERROR(__xludf.DUMMYFUNCTION("""COMPUTED_VALUE"""),"宮城峡")</f>
        <v>宮城峡</v>
      </c>
      <c r="E37" s="35" t="str">
        <f>IFERROR(__xludf.DUMMYFUNCTION("""COMPUTED_VALUE"""),"シングルモルト")</f>
        <v>シングルモルト</v>
      </c>
      <c r="F37" s="35"/>
      <c r="G37" s="35" t="str">
        <f>IFERROR(__xludf.DUMMYFUNCTION("""COMPUTED_VALUE"""),"宮城峡 モルティ&amp;ソフト")</f>
        <v>宮城峡 モルティ&amp;ソフト</v>
      </c>
      <c r="H37" s="35" t="str">
        <f>IFERROR(__xludf.DUMMYFUNCTION("""COMPUTED_VALUE"""),"蒸溜所限定")</f>
        <v>蒸溜所限定</v>
      </c>
      <c r="I37" s="35"/>
      <c r="J37" s="34"/>
      <c r="K37" s="34"/>
      <c r="L37" s="35" t="str">
        <f>IFERROR(__xludf.DUMMYFUNCTION("""COMPUTED_VALUE"""),"✓")</f>
        <v>✓</v>
      </c>
      <c r="M37" s="35"/>
      <c r="N37" s="36">
        <f>IFERROR(__xludf.DUMMYFUNCTION("""COMPUTED_VALUE"""),0.55)</f>
        <v>0.55</v>
      </c>
      <c r="O37" s="35"/>
      <c r="P37" s="37">
        <f>IFERROR(__xludf.DUMMYFUNCTION("""COMPUTED_VALUE"""),2000.0)</f>
        <v>2000</v>
      </c>
      <c r="Q37" s="37">
        <f>IFERROR(__xludf.DUMMYFUNCTION("""COMPUTED_VALUE"""),1100.0)</f>
        <v>1100</v>
      </c>
      <c r="R37" s="37"/>
      <c r="S37" s="38">
        <f>IFERROR(__xludf.DUMMYFUNCTION("""COMPUTED_VALUE"""),45307.0)</f>
        <v>45307</v>
      </c>
      <c r="T37" s="35"/>
      <c r="U37" s="35"/>
      <c r="V37" s="35"/>
      <c r="W37" s="35"/>
      <c r="X37" s="35"/>
      <c r="Y37" s="35"/>
      <c r="Z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IFERROR(__xludf.DUMMYFUNCTION("""COMPUTED_VALUE"""),"ニッカ")</f>
        <v>ニッカ</v>
      </c>
      <c r="C38" s="35" t="str">
        <f>IFERROR(__xludf.DUMMYFUNCTION("""COMPUTED_VALUE"""),"ニッカ")</f>
        <v>ニッカ</v>
      </c>
      <c r="D38" s="35" t="str">
        <f>IFERROR(__xludf.DUMMYFUNCTION("""COMPUTED_VALUE"""),"宮城峡")</f>
        <v>宮城峡</v>
      </c>
      <c r="E38" s="35" t="str">
        <f>IFERROR(__xludf.DUMMYFUNCTION("""COMPUTED_VALUE"""),"シングルモルト")</f>
        <v>シングルモルト</v>
      </c>
      <c r="F38" s="35"/>
      <c r="G38" s="35" t="str">
        <f>IFERROR(__xludf.DUMMYFUNCTION("""COMPUTED_VALUE"""),"宮城峡 モルティ&amp;ソルト 12年")</f>
        <v>宮城峡 モルティ&amp;ソルト 12年</v>
      </c>
      <c r="H38" s="35" t="str">
        <f>IFERROR(__xludf.DUMMYFUNCTION("""COMPUTED_VALUE"""),"蒸溜所限定")</f>
        <v>蒸溜所限定</v>
      </c>
      <c r="I38" s="35"/>
      <c r="J38" s="34"/>
      <c r="K38" s="34"/>
      <c r="L38" s="35"/>
      <c r="M38" s="35"/>
      <c r="N38" s="36">
        <f>IFERROR(__xludf.DUMMYFUNCTION("""COMPUTED_VALUE"""),0.55)</f>
        <v>0.55</v>
      </c>
      <c r="O38" s="35"/>
      <c r="P38" s="37">
        <f>IFERROR(__xludf.DUMMYFUNCTION("""COMPUTED_VALUE"""),3000.0)</f>
        <v>3000</v>
      </c>
      <c r="Q38" s="37">
        <f>IFERROR(__xludf.DUMMYFUNCTION("""COMPUTED_VALUE"""),1600.0)</f>
        <v>1600</v>
      </c>
      <c r="R38" s="37"/>
      <c r="S38" s="38">
        <f>IFERROR(__xludf.DUMMYFUNCTION("""COMPUTED_VALUE"""),45339.0)</f>
        <v>45339</v>
      </c>
      <c r="T38" s="35"/>
      <c r="U38" s="35"/>
      <c r="V38" s="35"/>
      <c r="W38" s="35"/>
      <c r="X38" s="35"/>
      <c r="Y38" s="35"/>
      <c r="Z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IFERROR(__xludf.DUMMYFUNCTION("""COMPUTED_VALUE"""),"ニッカ")</f>
        <v>ニッカ</v>
      </c>
      <c r="C39" s="35" t="str">
        <f>IFERROR(__xludf.DUMMYFUNCTION("""COMPUTED_VALUE"""),"ニッカ")</f>
        <v>ニッカ</v>
      </c>
      <c r="D39" s="35" t="str">
        <f>IFERROR(__xludf.DUMMYFUNCTION("""COMPUTED_VALUE"""),"宮城峡")</f>
        <v>宮城峡</v>
      </c>
      <c r="E39" s="35" t="str">
        <f>IFERROR(__xludf.DUMMYFUNCTION("""COMPUTED_VALUE"""),"シングルモルト")</f>
        <v>シングルモルト</v>
      </c>
      <c r="F39" s="35"/>
      <c r="G39" s="35" t="str">
        <f>IFERROR(__xludf.DUMMYFUNCTION("""COMPUTED_VALUE"""),"宮城峡 シェリー&amp;スイート")</f>
        <v>宮城峡 シェリー&amp;スイート</v>
      </c>
      <c r="H39" s="35" t="str">
        <f>IFERROR(__xludf.DUMMYFUNCTION("""COMPUTED_VALUE"""),"蒸溜所限定")</f>
        <v>蒸溜所限定</v>
      </c>
      <c r="I39" s="35"/>
      <c r="J39" s="34"/>
      <c r="K39" s="34"/>
      <c r="L39" s="35" t="str">
        <f>IFERROR(__xludf.DUMMYFUNCTION("""COMPUTED_VALUE"""),"✓")</f>
        <v>✓</v>
      </c>
      <c r="M39" s="35"/>
      <c r="N39" s="36">
        <f>IFERROR(__xludf.DUMMYFUNCTION("""COMPUTED_VALUE"""),0.55)</f>
        <v>0.55</v>
      </c>
      <c r="O39" s="35"/>
      <c r="P39" s="37">
        <f>IFERROR(__xludf.DUMMYFUNCTION("""COMPUTED_VALUE"""),2000.0)</f>
        <v>2000</v>
      </c>
      <c r="Q39" s="37">
        <f>IFERROR(__xludf.DUMMYFUNCTION("""COMPUTED_VALUE"""),1100.0)</f>
        <v>1100</v>
      </c>
      <c r="R39" s="37"/>
      <c r="S39" s="38">
        <f>IFERROR(__xludf.DUMMYFUNCTION("""COMPUTED_VALUE"""),45308.0)</f>
        <v>45308</v>
      </c>
      <c r="T39" s="35"/>
      <c r="U39" s="35"/>
      <c r="V39" s="35"/>
      <c r="W39" s="35"/>
      <c r="X39" s="35"/>
      <c r="Y39" s="35"/>
      <c r="Z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IFERROR(__xludf.DUMMYFUNCTION("""COMPUTED_VALUE"""),"ニッカ")</f>
        <v>ニッカ</v>
      </c>
      <c r="C40" s="35" t="str">
        <f>IFERROR(__xludf.DUMMYFUNCTION("""COMPUTED_VALUE"""),"ニッカ")</f>
        <v>ニッカ</v>
      </c>
      <c r="D40" s="35" t="str">
        <f>IFERROR(__xludf.DUMMYFUNCTION("""COMPUTED_VALUE"""),"宮城峡")</f>
        <v>宮城峡</v>
      </c>
      <c r="E40" s="35" t="str">
        <f>IFERROR(__xludf.DUMMYFUNCTION("""COMPUTED_VALUE"""),"シングルモルト")</f>
        <v>シングルモルト</v>
      </c>
      <c r="F40" s="35"/>
      <c r="G40" s="35" t="str">
        <f>IFERROR(__xludf.DUMMYFUNCTION("""COMPUTED_VALUE"""),"宮城峡 シェリー&amp;スイート 12年")</f>
        <v>宮城峡 シェリー&amp;スイート 12年</v>
      </c>
      <c r="H40" s="35" t="str">
        <f>IFERROR(__xludf.DUMMYFUNCTION("""COMPUTED_VALUE"""),"蒸溜所限定")</f>
        <v>蒸溜所限定</v>
      </c>
      <c r="I40" s="35"/>
      <c r="J40" s="34"/>
      <c r="K40" s="34"/>
      <c r="L40" s="35"/>
      <c r="M40" s="35"/>
      <c r="N40" s="36">
        <f>IFERROR(__xludf.DUMMYFUNCTION("""COMPUTED_VALUE"""),0.55)</f>
        <v>0.55</v>
      </c>
      <c r="O40" s="35"/>
      <c r="P40" s="37">
        <f>IFERROR(__xludf.DUMMYFUNCTION("""COMPUTED_VALUE"""),2600.0)</f>
        <v>2600</v>
      </c>
      <c r="Q40" s="37">
        <f>IFERROR(__xludf.DUMMYFUNCTION("""COMPUTED_VALUE"""),1400.0)</f>
        <v>1400</v>
      </c>
      <c r="R40" s="37"/>
      <c r="S40" s="38">
        <f>IFERROR(__xludf.DUMMYFUNCTION("""COMPUTED_VALUE"""),45329.0)</f>
        <v>45329</v>
      </c>
      <c r="T40" s="35"/>
      <c r="U40" s="35"/>
      <c r="V40" s="35"/>
      <c r="W40" s="35"/>
      <c r="X40" s="35"/>
      <c r="Y40" s="35"/>
      <c r="Z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IFERROR(__xludf.DUMMYFUNCTION("""COMPUTED_VALUE"""),"ニッカ")</f>
        <v>ニッカ</v>
      </c>
      <c r="C41" s="35" t="str">
        <f>IFERROR(__xludf.DUMMYFUNCTION("""COMPUTED_VALUE"""),"ニッカ")</f>
        <v>ニッカ</v>
      </c>
      <c r="D41" s="35" t="str">
        <f>IFERROR(__xludf.DUMMYFUNCTION("""COMPUTED_VALUE"""),"宮城峡")</f>
        <v>宮城峡</v>
      </c>
      <c r="E41" s="35" t="str">
        <f>IFERROR(__xludf.DUMMYFUNCTION("""COMPUTED_VALUE"""),"シングルモルト")</f>
        <v>シングルモルト</v>
      </c>
      <c r="F41" s="35"/>
      <c r="G41" s="35" t="str">
        <f>IFERROR(__xludf.DUMMYFUNCTION("""COMPUTED_VALUE"""),"宮城峡 モスカテルウッドフィニッシュ")</f>
        <v>宮城峡 モスカテルウッドフィニッシュ</v>
      </c>
      <c r="H41" s="35"/>
      <c r="I41" s="35"/>
      <c r="J41" s="34"/>
      <c r="K41" s="34"/>
      <c r="L41" s="35"/>
      <c r="M41" s="35"/>
      <c r="N41" s="36">
        <f>IFERROR(__xludf.DUMMYFUNCTION("""COMPUTED_VALUE"""),0.46)</f>
        <v>0.46</v>
      </c>
      <c r="O41" s="35">
        <f>IFERROR(__xludf.DUMMYFUNCTION("""COMPUTED_VALUE"""),3500.0)</f>
        <v>3500</v>
      </c>
      <c r="P41" s="37">
        <f>IFERROR(__xludf.DUMMYFUNCTION("""COMPUTED_VALUE"""),3000.0)</f>
        <v>3000</v>
      </c>
      <c r="Q41" s="37">
        <f>IFERROR(__xludf.DUMMYFUNCTION("""COMPUTED_VALUE"""),1600.0)</f>
        <v>1600</v>
      </c>
      <c r="R41" s="37"/>
      <c r="S41" s="38">
        <f>IFERROR(__xludf.DUMMYFUNCTION("""COMPUTED_VALUE"""),45216.0)</f>
        <v>45216</v>
      </c>
      <c r="T41" s="35"/>
      <c r="U41" s="35"/>
      <c r="V41" s="35"/>
      <c r="W41" s="35"/>
      <c r="X41" s="35"/>
      <c r="Y41" s="35"/>
      <c r="Z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IFERROR(__xludf.DUMMYFUNCTION("""COMPUTED_VALUE"""),"ニッカ")</f>
        <v>ニッカ</v>
      </c>
      <c r="C42" s="35" t="str">
        <f>IFERROR(__xludf.DUMMYFUNCTION("""COMPUTED_VALUE"""),"ニッカ")</f>
        <v>ニッカ</v>
      </c>
      <c r="D42" s="35" t="str">
        <f>IFERROR(__xludf.DUMMYFUNCTION("""COMPUTED_VALUE"""),"宮城峡")</f>
        <v>宮城峡</v>
      </c>
      <c r="E42" s="35" t="str">
        <f>IFERROR(__xludf.DUMMYFUNCTION("""COMPUTED_VALUE"""),"シングルモルト")</f>
        <v>シングルモルト</v>
      </c>
      <c r="F42" s="35"/>
      <c r="G42" s="35" t="str">
        <f>IFERROR(__xludf.DUMMYFUNCTION("""COMPUTED_VALUE"""),"宮城峡 マンサニーリャウッドフィニッシュ")</f>
        <v>宮城峡 マンサニーリャウッドフィニッシュ</v>
      </c>
      <c r="H42" s="35"/>
      <c r="I42" s="35"/>
      <c r="J42" s="34"/>
      <c r="K42" s="34"/>
      <c r="L42" s="35"/>
      <c r="M42" s="35"/>
      <c r="N42" s="36">
        <f>IFERROR(__xludf.DUMMYFUNCTION("""COMPUTED_VALUE"""),0.48)</f>
        <v>0.48</v>
      </c>
      <c r="O42" s="35">
        <f>IFERROR(__xludf.DUMMYFUNCTION("""COMPUTED_VALUE"""),4000.0)</f>
        <v>4000</v>
      </c>
      <c r="P42" s="37">
        <f>IFERROR(__xludf.DUMMYFUNCTION("""COMPUTED_VALUE"""),3000.0)</f>
        <v>3000</v>
      </c>
      <c r="Q42" s="37">
        <f>IFERROR(__xludf.DUMMYFUNCTION("""COMPUTED_VALUE"""),1600.0)</f>
        <v>1600</v>
      </c>
      <c r="R42" s="37"/>
      <c r="S42" s="38">
        <f>IFERROR(__xludf.DUMMYFUNCTION("""COMPUTED_VALUE"""),45220.0)</f>
        <v>45220</v>
      </c>
      <c r="T42" s="35"/>
      <c r="U42" s="35"/>
      <c r="V42" s="35"/>
      <c r="W42" s="35"/>
      <c r="X42" s="35"/>
      <c r="Y42" s="35"/>
      <c r="Z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IFERROR(__xludf.DUMMYFUNCTION("""COMPUTED_VALUE"""),"ニッカ")</f>
        <v>ニッカ</v>
      </c>
      <c r="C43" s="35" t="str">
        <f>IFERROR(__xludf.DUMMYFUNCTION("""COMPUTED_VALUE"""),"ニッカ")</f>
        <v>ニッカ</v>
      </c>
      <c r="D43" s="35" t="str">
        <f>IFERROR(__xludf.DUMMYFUNCTION("""COMPUTED_VALUE"""),"宮城峡")</f>
        <v>宮城峡</v>
      </c>
      <c r="E43" s="35" t="str">
        <f>IFERROR(__xludf.DUMMYFUNCTION("""COMPUTED_VALUE"""),"シングルモルト")</f>
        <v>シングルモルト</v>
      </c>
      <c r="F43" s="35"/>
      <c r="G43" s="35" t="str">
        <f>IFERROR(__xludf.DUMMYFUNCTION("""COMPUTED_VALUE"""),"宮城峡 アップルブランデーウッドフィニッシュ")</f>
        <v>宮城峡 アップルブランデーウッドフィニッシュ</v>
      </c>
      <c r="H43" s="35"/>
      <c r="I43" s="35"/>
      <c r="J43" s="34"/>
      <c r="K43" s="34"/>
      <c r="L43" s="35"/>
      <c r="M43" s="35"/>
      <c r="N43" s="36">
        <f>IFERROR(__xludf.DUMMYFUNCTION("""COMPUTED_VALUE"""),0.47)</f>
        <v>0.47</v>
      </c>
      <c r="O43" s="35">
        <f>IFERROR(__xludf.DUMMYFUNCTION("""COMPUTED_VALUE"""),6450.0)</f>
        <v>6450</v>
      </c>
      <c r="P43" s="37">
        <f>IFERROR(__xludf.DUMMYFUNCTION("""COMPUTED_VALUE"""),3000.0)</f>
        <v>3000</v>
      </c>
      <c r="Q43" s="37">
        <f>IFERROR(__xludf.DUMMYFUNCTION("""COMPUTED_VALUE"""),1600.0)</f>
        <v>1600</v>
      </c>
      <c r="R43" s="37"/>
      <c r="S43" s="38">
        <f>IFERROR(__xludf.DUMMYFUNCTION("""COMPUTED_VALUE"""),45225.0)</f>
        <v>45225</v>
      </c>
      <c r="T43" s="35"/>
      <c r="U43" s="35"/>
      <c r="V43" s="35"/>
      <c r="W43" s="35"/>
      <c r="X43" s="35"/>
      <c r="Y43" s="35"/>
      <c r="Z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IFERROR(__xludf.DUMMYFUNCTION("""COMPUTED_VALUE"""),"ニッカ")</f>
        <v>ニッカ</v>
      </c>
      <c r="C44" s="35" t="str">
        <f>IFERROR(__xludf.DUMMYFUNCTION("""COMPUTED_VALUE"""),"ニッカ")</f>
        <v>ニッカ</v>
      </c>
      <c r="D44" s="35" t="str">
        <f>IFERROR(__xludf.DUMMYFUNCTION("""COMPUTED_VALUE"""),"宮城峡")</f>
        <v>宮城峡</v>
      </c>
      <c r="E44" s="35" t="str">
        <f>IFERROR(__xludf.DUMMYFUNCTION("""COMPUTED_VALUE"""),"シングルモルト")</f>
        <v>シングルモルト</v>
      </c>
      <c r="F44" s="35"/>
      <c r="G44" s="35" t="str">
        <f>IFERROR(__xludf.DUMMYFUNCTION("""COMPUTED_VALUE"""),"宮城峡 ピーテッド")</f>
        <v>宮城峡 ピーテッド</v>
      </c>
      <c r="H44" s="35" t="str">
        <f>IFERROR(__xludf.DUMMYFUNCTION("""COMPUTED_VALUE"""),"ディスカバリーシリーズ")</f>
        <v>ディスカバリーシリーズ</v>
      </c>
      <c r="I44" s="35"/>
      <c r="J44" s="34"/>
      <c r="K44" s="34"/>
      <c r="L44" s="35"/>
      <c r="M44" s="35"/>
      <c r="N44" s="36">
        <f>IFERROR(__xludf.DUMMYFUNCTION("""COMPUTED_VALUE"""),0.48)</f>
        <v>0.48</v>
      </c>
      <c r="O44" s="35">
        <f>IFERROR(__xludf.DUMMYFUNCTION("""COMPUTED_VALUE"""),10000.0)</f>
        <v>10000</v>
      </c>
      <c r="P44" s="37">
        <f>IFERROR(__xludf.DUMMYFUNCTION("""COMPUTED_VALUE"""),3000.0)</f>
        <v>3000</v>
      </c>
      <c r="Q44" s="37">
        <f>IFERROR(__xludf.DUMMYFUNCTION("""COMPUTED_VALUE"""),1600.0)</f>
        <v>1600</v>
      </c>
      <c r="R44" s="37"/>
      <c r="S44" s="38">
        <f>IFERROR(__xludf.DUMMYFUNCTION("""COMPUTED_VALUE"""),44789.0)</f>
        <v>44789</v>
      </c>
      <c r="T44" s="35"/>
      <c r="U44" s="35"/>
      <c r="V44" s="35"/>
      <c r="W44" s="35"/>
      <c r="X44" s="35"/>
      <c r="Y44" s="35"/>
      <c r="Z44" s="35"/>
    </row>
    <row r="45" ht="15.75" customHeight="1">
      <c r="A45" s="35" t="str">
        <f>IFERROR(__xludf.DUMMYFUNCTION("""COMPUTED_VALUE"""),"JP")</f>
        <v>JP</v>
      </c>
      <c r="B45" s="39" t="str">
        <f>IFERROR(__xludf.DUMMYFUNCTION("""COMPUTED_VALUE"""),"ニッカ")</f>
        <v>ニッカ</v>
      </c>
      <c r="C45" s="35" t="str">
        <f>IFERROR(__xludf.DUMMYFUNCTION("""COMPUTED_VALUE"""),"ニッカ")</f>
        <v>ニッカ</v>
      </c>
      <c r="D45" s="35" t="str">
        <f>IFERROR(__xludf.DUMMYFUNCTION("""COMPUTED_VALUE"""),"宮城峡")</f>
        <v>宮城峡</v>
      </c>
      <c r="E45" s="35" t="str">
        <f>IFERROR(__xludf.DUMMYFUNCTION("""COMPUTED_VALUE"""),"シングルモルト")</f>
        <v>シングルモルト</v>
      </c>
      <c r="F45" s="35"/>
      <c r="G45" s="35" t="str">
        <f>IFERROR(__xludf.DUMMYFUNCTION("""COMPUTED_VALUE"""),"宮城峡 アロマティックイースト")</f>
        <v>宮城峡 アロマティックイースト</v>
      </c>
      <c r="H45" s="35" t="str">
        <f>IFERROR(__xludf.DUMMYFUNCTION("""COMPUTED_VALUE"""),"ディスカバリーシリーズ")</f>
        <v>ディスカバリーシリーズ</v>
      </c>
      <c r="I45" s="35"/>
      <c r="J45" s="34"/>
      <c r="K45" s="34"/>
      <c r="L45" s="35"/>
      <c r="M45" s="35"/>
      <c r="N45" s="36">
        <f>IFERROR(__xludf.DUMMYFUNCTION("""COMPUTED_VALUE"""),0.47)</f>
        <v>0.47</v>
      </c>
      <c r="O45" s="35">
        <f>IFERROR(__xludf.DUMMYFUNCTION("""COMPUTED_VALUE"""),10000.0)</f>
        <v>10000</v>
      </c>
      <c r="P45" s="37">
        <f>IFERROR(__xludf.DUMMYFUNCTION("""COMPUTED_VALUE"""),3000.0)</f>
        <v>3000</v>
      </c>
      <c r="Q45" s="37">
        <f>IFERROR(__xludf.DUMMYFUNCTION("""COMPUTED_VALUE"""),1600.0)</f>
        <v>1600</v>
      </c>
      <c r="R45" s="37"/>
      <c r="S45" s="38">
        <f>IFERROR(__xludf.DUMMYFUNCTION("""COMPUTED_VALUE"""),45245.0)</f>
        <v>45245</v>
      </c>
      <c r="T45" s="35"/>
      <c r="U45" s="35"/>
      <c r="V45" s="35"/>
      <c r="W45" s="35"/>
      <c r="X45" s="35"/>
      <c r="Y45" s="35"/>
      <c r="Z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IFERROR(__xludf.DUMMYFUNCTION("""COMPUTED_VALUE"""),"ニッカ")</f>
        <v>ニッカ</v>
      </c>
      <c r="C46" s="35" t="str">
        <f>IFERROR(__xludf.DUMMYFUNCTION("""COMPUTED_VALUE"""),"ニッカ")</f>
        <v>ニッカ</v>
      </c>
      <c r="D46" s="35" t="str">
        <f>IFERROR(__xludf.DUMMYFUNCTION("""COMPUTED_VALUE"""),"宮城峡")</f>
        <v>宮城峡</v>
      </c>
      <c r="E46" s="35" t="str">
        <f>IFERROR(__xludf.DUMMYFUNCTION("""COMPUTED_VALUE"""),"シングルモルト")</f>
        <v>シングルモルト</v>
      </c>
      <c r="F46" s="35"/>
      <c r="G46" s="35" t="str">
        <f>IFERROR(__xludf.DUMMYFUNCTION("""COMPUTED_VALUE"""),"仙台 12年")</f>
        <v>仙台 12年</v>
      </c>
      <c r="H46" s="35"/>
      <c r="I46" s="35"/>
      <c r="J46" s="34"/>
      <c r="K46" s="34"/>
      <c r="L46" s="35"/>
      <c r="M46" s="35"/>
      <c r="N46" s="36">
        <f>IFERROR(__xludf.DUMMYFUNCTION("""COMPUTED_VALUE"""),0.45)</f>
        <v>0.45</v>
      </c>
      <c r="O46" s="35"/>
      <c r="P46" s="37">
        <f>IFERROR(__xludf.DUMMYFUNCTION("""COMPUTED_VALUE"""),3000.0)</f>
        <v>3000</v>
      </c>
      <c r="Q46" s="37">
        <f>IFERROR(__xludf.DUMMYFUNCTION("""COMPUTED_VALUE"""),1600.0)</f>
        <v>1600</v>
      </c>
      <c r="R46" s="37"/>
      <c r="S46" s="38">
        <f>IFERROR(__xludf.DUMMYFUNCTION("""COMPUTED_VALUE"""),45332.0)</f>
        <v>45332</v>
      </c>
      <c r="T46" s="35"/>
      <c r="U46" s="35"/>
      <c r="V46" s="35"/>
      <c r="W46" s="35"/>
      <c r="X46" s="35"/>
      <c r="Y46" s="35"/>
      <c r="Z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IFERROR(__xludf.DUMMYFUNCTION("""COMPUTED_VALUE"""),"キリン")</f>
        <v>キリン</v>
      </c>
      <c r="C47" s="35" t="str">
        <f>IFERROR(__xludf.DUMMYFUNCTION("""COMPUTED_VALUE"""),"キリン")</f>
        <v>キリン</v>
      </c>
      <c r="D47" s="35" t="str">
        <f>IFERROR(__xludf.DUMMYFUNCTION("""COMPUTED_VALUE"""),"御殿場")</f>
        <v>御殿場</v>
      </c>
      <c r="E47" s="35" t="str">
        <f>IFERROR(__xludf.DUMMYFUNCTION("""COMPUTED_VALUE"""),"シングルモルト")</f>
        <v>シングルモルト</v>
      </c>
      <c r="F47" s="35"/>
      <c r="G47" s="35" t="str">
        <f>IFERROR(__xludf.DUMMYFUNCTION("""COMPUTED_VALUE"""),"富士 シングルモルト")</f>
        <v>富士 シングルモルト</v>
      </c>
      <c r="H47" s="35"/>
      <c r="I47" s="35"/>
      <c r="J47" s="34"/>
      <c r="K47" s="34"/>
      <c r="L47" s="35" t="str">
        <f>IFERROR(__xludf.DUMMYFUNCTION("""COMPUTED_VALUE"""),"✓")</f>
        <v>✓</v>
      </c>
      <c r="M47" s="35"/>
      <c r="N47" s="36">
        <f>IFERROR(__xludf.DUMMYFUNCTION("""COMPUTED_VALUE"""),0.46)</f>
        <v>0.46</v>
      </c>
      <c r="O47" s="35"/>
      <c r="P47" s="37">
        <f>IFERROR(__xludf.DUMMYFUNCTION("""COMPUTED_VALUE"""),1500.0)</f>
        <v>1500</v>
      </c>
      <c r="Q47" s="37">
        <f>IFERROR(__xludf.DUMMYFUNCTION("""COMPUTED_VALUE"""),850.0)</f>
        <v>850</v>
      </c>
      <c r="R47" s="37"/>
      <c r="S47" s="38">
        <f>IFERROR(__xludf.DUMMYFUNCTION("""COMPUTED_VALUE"""),45699.0)</f>
        <v>45699</v>
      </c>
      <c r="T47" s="35"/>
      <c r="U47" s="35"/>
      <c r="V47" s="35"/>
      <c r="W47" s="35"/>
      <c r="X47" s="35"/>
      <c r="Y47" s="35"/>
      <c r="Z47" s="35"/>
    </row>
    <row r="48" ht="15.75" customHeight="1">
      <c r="A48" s="35" t="str">
        <f>IFERROR(__xludf.DUMMYFUNCTION("""COMPUTED_VALUE"""),"JP")</f>
        <v>JP</v>
      </c>
      <c r="B48" s="40" t="str">
        <f>IFERROR(__xludf.DUMMYFUNCTION("""COMPUTED_VALUE"""),"キリン")</f>
        <v>キリン</v>
      </c>
      <c r="C48" s="35" t="str">
        <f>IFERROR(__xludf.DUMMYFUNCTION("""COMPUTED_VALUE"""),"キリン")</f>
        <v>キリン</v>
      </c>
      <c r="D48" s="35" t="str">
        <f>IFERROR(__xludf.DUMMYFUNCTION("""COMPUTED_VALUE"""),"御殿場")</f>
        <v>御殿場</v>
      </c>
      <c r="E48" s="35" t="str">
        <f>IFERROR(__xludf.DUMMYFUNCTION("""COMPUTED_VALUE"""),"シングルモルト")</f>
        <v>シングルモルト</v>
      </c>
      <c r="F48" s="35"/>
      <c r="G48" s="35" t="str">
        <f>IFERROR(__xludf.DUMMYFUNCTION("""COMPUTED_VALUE"""),"富士御殿場蒸溜所 20周年ピュアモルト")</f>
        <v>富士御殿場蒸溜所 20周年ピュアモルト</v>
      </c>
      <c r="H48" s="35" t="str">
        <f>IFERROR(__xludf.DUMMYFUNCTION("""COMPUTED_VALUE"""),"蒸溜所20周年記念")</f>
        <v>蒸溜所20周年記念</v>
      </c>
      <c r="I48" s="35"/>
      <c r="J48" s="34"/>
      <c r="K48" s="34"/>
      <c r="L48" s="35"/>
      <c r="M48" s="35"/>
      <c r="N48" s="36">
        <f>IFERROR(__xludf.DUMMYFUNCTION("""COMPUTED_VALUE"""),0.4)</f>
        <v>0.4</v>
      </c>
      <c r="O48" s="35"/>
      <c r="P48" s="37">
        <f>IFERROR(__xludf.DUMMYFUNCTION("""COMPUTED_VALUE"""),2200.0)</f>
        <v>2200</v>
      </c>
      <c r="Q48" s="37">
        <f>IFERROR(__xludf.DUMMYFUNCTION("""COMPUTED_VALUE"""),1200.0)</f>
        <v>1200</v>
      </c>
      <c r="R48" s="37"/>
      <c r="S48" s="38">
        <f>IFERROR(__xludf.DUMMYFUNCTION("""COMPUTED_VALUE"""),44941.0)</f>
        <v>44941</v>
      </c>
      <c r="T48" s="35"/>
      <c r="U48" s="35"/>
      <c r="V48" s="35"/>
      <c r="W48" s="35"/>
      <c r="X48" s="35"/>
      <c r="Y48" s="35"/>
      <c r="Z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IFERROR(__xludf.DUMMYFUNCTION("""COMPUTED_VALUE"""),"キリン")</f>
        <v>キリン</v>
      </c>
      <c r="C49" s="35" t="str">
        <f>IFERROR(__xludf.DUMMYFUNCTION("""COMPUTED_VALUE"""),"キリン")</f>
        <v>キリン</v>
      </c>
      <c r="D49" s="35" t="str">
        <f>IFERROR(__xludf.DUMMYFUNCTION("""COMPUTED_VALUE"""),"御殿場")</f>
        <v>御殿場</v>
      </c>
      <c r="E49" s="35" t="str">
        <f>IFERROR(__xludf.DUMMYFUNCTION("""COMPUTED_VALUE"""),"シングルモルト")</f>
        <v>シングルモルト</v>
      </c>
      <c r="F49" s="35"/>
      <c r="G49" s="35" t="str">
        <f>IFERROR(__xludf.DUMMYFUNCTION("""COMPUTED_VALUE"""),"富士御殿場蒸溜所 ブレンダーズチョイス 2014 シングルモルト")</f>
        <v>富士御殿場蒸溜所 ブレンダーズチョイス 2014 シングルモルト</v>
      </c>
      <c r="H49" s="35"/>
      <c r="I49" s="35"/>
      <c r="J49" s="34"/>
      <c r="K49" s="34"/>
      <c r="L49" s="35"/>
      <c r="M49" s="35"/>
      <c r="N49" s="36">
        <f>IFERROR(__xludf.DUMMYFUNCTION("""COMPUTED_VALUE"""),0.46)</f>
        <v>0.46</v>
      </c>
      <c r="O49" s="35"/>
      <c r="P49" s="37">
        <f>IFERROR(__xludf.DUMMYFUNCTION("""COMPUTED_VALUE"""),2000.0)</f>
        <v>2000</v>
      </c>
      <c r="Q49" s="37">
        <f>IFERROR(__xludf.DUMMYFUNCTION("""COMPUTED_VALUE"""),1100.0)</f>
        <v>1100</v>
      </c>
      <c r="R49" s="37"/>
      <c r="S49" s="38">
        <f>IFERROR(__xludf.DUMMYFUNCTION("""COMPUTED_VALUE"""),45446.0)</f>
        <v>45446</v>
      </c>
      <c r="T49" s="35"/>
      <c r="U49" s="35"/>
      <c r="V49" s="35"/>
      <c r="W49" s="35"/>
      <c r="X49" s="35"/>
      <c r="Y49" s="35"/>
      <c r="Z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IFERROR(__xludf.DUMMYFUNCTION("""COMPUTED_VALUE"""),"キリン")</f>
        <v>キリン</v>
      </c>
      <c r="C50" s="35" t="str">
        <f>IFERROR(__xludf.DUMMYFUNCTION("""COMPUTED_VALUE"""),"キリン")</f>
        <v>キリン</v>
      </c>
      <c r="D50" s="35" t="str">
        <f>IFERROR(__xludf.DUMMYFUNCTION("""COMPUTED_VALUE"""),"御殿場")</f>
        <v>御殿場</v>
      </c>
      <c r="E50" s="35" t="str">
        <f>IFERROR(__xludf.DUMMYFUNCTION("""COMPUTED_VALUE"""),"シングルモルト")</f>
        <v>シングルモルト</v>
      </c>
      <c r="F50" s="35"/>
      <c r="G50" s="35" t="str">
        <f>IFERROR(__xludf.DUMMYFUNCTION("""COMPUTED_VALUE"""),"富士御殿場蒸溜所 12年 赤ワインカスクフィニッシュ")</f>
        <v>富士御殿場蒸溜所 12年 赤ワインカスクフィニッシュ</v>
      </c>
      <c r="H50" s="35"/>
      <c r="I50" s="35"/>
      <c r="J50" s="34"/>
      <c r="K50" s="34"/>
      <c r="L50" s="35"/>
      <c r="M50" s="35"/>
      <c r="N50" s="36">
        <f>IFERROR(__xludf.DUMMYFUNCTION("""COMPUTED_VALUE"""),0.5)</f>
        <v>0.5</v>
      </c>
      <c r="O50" s="35"/>
      <c r="P50" s="37">
        <f>IFERROR(__xludf.DUMMYFUNCTION("""COMPUTED_VALUE"""),3000.0)</f>
        <v>3000</v>
      </c>
      <c r="Q50" s="37">
        <f>IFERROR(__xludf.DUMMYFUNCTION("""COMPUTED_VALUE"""),1600.0)</f>
        <v>1600</v>
      </c>
      <c r="R50" s="37"/>
      <c r="S50" s="38">
        <f>IFERROR(__xludf.DUMMYFUNCTION("""COMPUTED_VALUE"""),45210.0)</f>
        <v>45210</v>
      </c>
      <c r="T50" s="35"/>
      <c r="U50" s="35"/>
      <c r="V50" s="35"/>
      <c r="W50" s="35"/>
      <c r="X50" s="35"/>
      <c r="Y50" s="35"/>
      <c r="Z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IFERROR(__xludf.DUMMYFUNCTION("""COMPUTED_VALUE"""),"キリン")</f>
        <v>キリン</v>
      </c>
      <c r="C51" s="35" t="str">
        <f>IFERROR(__xludf.DUMMYFUNCTION("""COMPUTED_VALUE"""),"キリン")</f>
        <v>キリン</v>
      </c>
      <c r="D51" s="35" t="str">
        <f>IFERROR(__xludf.DUMMYFUNCTION("""COMPUTED_VALUE"""),"御殿場")</f>
        <v>御殿場</v>
      </c>
      <c r="E51" s="35" t="str">
        <f>IFERROR(__xludf.DUMMYFUNCTION("""COMPUTED_VALUE"""),"シングルモルト")</f>
        <v>シングルモルト</v>
      </c>
      <c r="F51" s="35"/>
      <c r="G51" s="35" t="str">
        <f>IFERROR(__xludf.DUMMYFUNCTION("""COMPUTED_VALUE"""),"富士御殿場蒸溜所 17年")</f>
        <v>富士御殿場蒸溜所 17年</v>
      </c>
      <c r="H51" s="35"/>
      <c r="I51" s="35"/>
      <c r="J51" s="34"/>
      <c r="K51" s="34"/>
      <c r="L51" s="35"/>
      <c r="M51" s="35"/>
      <c r="N51" s="36">
        <f>IFERROR(__xludf.DUMMYFUNCTION("""COMPUTED_VALUE"""),0.46)</f>
        <v>0.46</v>
      </c>
      <c r="O51" s="35"/>
      <c r="P51" s="37">
        <f>IFERROR(__xludf.DUMMYFUNCTION("""COMPUTED_VALUE"""),2600.0)</f>
        <v>2600</v>
      </c>
      <c r="Q51" s="37">
        <f>IFERROR(__xludf.DUMMYFUNCTION("""COMPUTED_VALUE"""),1400.0)</f>
        <v>1400</v>
      </c>
      <c r="R51" s="37"/>
      <c r="S51" s="38">
        <f>IFERROR(__xludf.DUMMYFUNCTION("""COMPUTED_VALUE"""),44942.0)</f>
        <v>44942</v>
      </c>
      <c r="T51" s="35"/>
      <c r="U51" s="35"/>
      <c r="V51" s="35"/>
      <c r="W51" s="35"/>
      <c r="X51" s="35"/>
      <c r="Y51" s="35"/>
      <c r="Z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IFERROR(__xludf.DUMMYFUNCTION("""COMPUTED_VALUE"""),"キリン")</f>
        <v>キリン</v>
      </c>
      <c r="C52" s="35" t="str">
        <f>IFERROR(__xludf.DUMMYFUNCTION("""COMPUTED_VALUE"""),"キリン")</f>
        <v>キリン</v>
      </c>
      <c r="D52" s="35" t="str">
        <f>IFERROR(__xludf.DUMMYFUNCTION("""COMPUTED_VALUE"""),"御殿場")</f>
        <v>御殿場</v>
      </c>
      <c r="E52" s="35" t="str">
        <f>IFERROR(__xludf.DUMMYFUNCTION("""COMPUTED_VALUE"""),"シングルモルト")</f>
        <v>シングルモルト</v>
      </c>
      <c r="F52" s="35"/>
      <c r="G52" s="35" t="str">
        <f>IFERROR(__xludf.DUMMYFUNCTION("""COMPUTED_VALUE"""),"富士山麓 18年")</f>
        <v>富士山麓 18年</v>
      </c>
      <c r="H52" s="35"/>
      <c r="I52" s="35"/>
      <c r="J52" s="34"/>
      <c r="K52" s="34"/>
      <c r="L52" s="35"/>
      <c r="M52" s="35"/>
      <c r="N52" s="36">
        <f>IFERROR(__xludf.DUMMYFUNCTION("""COMPUTED_VALUE"""),0.43)</f>
        <v>0.43</v>
      </c>
      <c r="O52" s="35"/>
      <c r="P52" s="37"/>
      <c r="Q52" s="37"/>
      <c r="R52" s="37">
        <f>IFERROR(__xludf.DUMMYFUNCTION("""COMPUTED_VALUE"""),2200.0)</f>
        <v>2200</v>
      </c>
      <c r="S52" s="38">
        <f>IFERROR(__xludf.DUMMYFUNCTION("""COMPUTED_VALUE"""),45235.0)</f>
        <v>45235</v>
      </c>
      <c r="T52" s="35"/>
      <c r="U52" s="35"/>
      <c r="V52" s="35"/>
      <c r="W52" s="35"/>
      <c r="X52" s="35"/>
      <c r="Y52" s="35"/>
      <c r="Z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IFERROR(__xludf.DUMMYFUNCTION("""COMPUTED_VALUE"""),"ベンチャー")</f>
        <v>ベンチャー</v>
      </c>
      <c r="C53" s="35" t="str">
        <f>IFERROR(__xludf.DUMMYFUNCTION("""COMPUTED_VALUE"""),"ベンチャー")</f>
        <v>ベンチャー</v>
      </c>
      <c r="D53" s="35" t="str">
        <f>IFERROR(__xludf.DUMMYFUNCTION("""COMPUTED_VALUE"""),"秩父")</f>
        <v>秩父</v>
      </c>
      <c r="E53" s="35" t="str">
        <f>IFERROR(__xludf.DUMMYFUNCTION("""COMPUTED_VALUE"""),"シングルモルト")</f>
        <v>シングルモルト</v>
      </c>
      <c r="F53" s="35"/>
      <c r="G53" s="35" t="str">
        <f>IFERROR(__xludf.DUMMYFUNCTION("""COMPUTED_VALUE"""),"イチローズモルト 15年 ファイナルヴィンテージオブ羽生")</f>
        <v>イチローズモルト 15年 ファイナルヴィンテージオブ羽生</v>
      </c>
      <c r="H53" s="35"/>
      <c r="I53" s="35"/>
      <c r="J53" s="34"/>
      <c r="K53" s="34"/>
      <c r="L53" s="35"/>
      <c r="M53" s="35"/>
      <c r="N53" s="36">
        <f>IFERROR(__xludf.DUMMYFUNCTION("""COMPUTED_VALUE"""),0.465)</f>
        <v>0.465</v>
      </c>
      <c r="O53" s="35"/>
      <c r="P53" s="37"/>
      <c r="Q53" s="37"/>
      <c r="R53" s="37">
        <f>IFERROR(__xludf.DUMMYFUNCTION("""COMPUTED_VALUE"""),2200.0)</f>
        <v>2200</v>
      </c>
      <c r="S53" s="38">
        <f>IFERROR(__xludf.DUMMYFUNCTION("""COMPUTED_VALUE"""),44975.0)</f>
        <v>44975</v>
      </c>
      <c r="T53" s="35"/>
      <c r="U53" s="35"/>
      <c r="V53" s="35"/>
      <c r="W53" s="35"/>
      <c r="X53" s="35"/>
      <c r="Y53" s="35"/>
      <c r="Z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IFERROR(__xludf.DUMMYFUNCTION("""COMPUTED_VALUE"""),"ベンチャー")</f>
        <v>ベンチャー</v>
      </c>
      <c r="C54" s="35" t="str">
        <f>IFERROR(__xludf.DUMMYFUNCTION("""COMPUTED_VALUE"""),"ベンチャー")</f>
        <v>ベンチャー</v>
      </c>
      <c r="D54" s="35" t="str">
        <f>IFERROR(__xludf.DUMMYFUNCTION("""COMPUTED_VALUE"""),"秩父")</f>
        <v>秩父</v>
      </c>
      <c r="E54" s="35" t="str">
        <f>IFERROR(__xludf.DUMMYFUNCTION("""COMPUTED_VALUE"""),"シングルモルト")</f>
        <v>シングルモルト</v>
      </c>
      <c r="F54" s="35"/>
      <c r="G54" s="35" t="str">
        <f>IFERROR(__xludf.DUMMYFUNCTION("""COMPUTED_VALUE"""),"イチローズモルト秩父 ディスティラリーⅡ")</f>
        <v>イチローズモルト秩父 ディスティラリーⅡ</v>
      </c>
      <c r="H54" s="35"/>
      <c r="I54" s="35"/>
      <c r="J54" s="34"/>
      <c r="K54" s="34"/>
      <c r="L54" s="35"/>
      <c r="M54" s="35"/>
      <c r="N54" s="36">
        <f>IFERROR(__xludf.DUMMYFUNCTION("""COMPUTED_VALUE"""),0.55)</f>
        <v>0.55</v>
      </c>
      <c r="O54" s="35"/>
      <c r="P54" s="37">
        <f>IFERROR(__xludf.DUMMYFUNCTION("""COMPUTED_VALUE"""),2200.0)</f>
        <v>2200</v>
      </c>
      <c r="Q54" s="37">
        <f>IFERROR(__xludf.DUMMYFUNCTION("""COMPUTED_VALUE"""),1200.0)</f>
        <v>1200</v>
      </c>
      <c r="R54" s="37"/>
      <c r="S54" s="38"/>
      <c r="T54" s="35"/>
      <c r="U54" s="35"/>
      <c r="V54" s="35"/>
      <c r="W54" s="35"/>
      <c r="X54" s="35"/>
      <c r="Y54" s="35"/>
      <c r="Z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IFERROR(__xludf.DUMMYFUNCTION("""COMPUTED_VALUE"""),"ベンチャー")</f>
        <v>ベンチャー</v>
      </c>
      <c r="C55" s="35" t="str">
        <f>IFERROR(__xludf.DUMMYFUNCTION("""COMPUTED_VALUE"""),"ベンチャー")</f>
        <v>ベンチャー</v>
      </c>
      <c r="D55" s="35" t="str">
        <f>IFERROR(__xludf.DUMMYFUNCTION("""COMPUTED_VALUE"""),"秩父")</f>
        <v>秩父</v>
      </c>
      <c r="E55" s="35" t="str">
        <f>IFERROR(__xludf.DUMMYFUNCTION("""COMPUTED_VALUE"""),"シングルモルト")</f>
        <v>シングルモルト</v>
      </c>
      <c r="F55" s="35"/>
      <c r="G55" s="35" t="str">
        <f>IFERROR(__xludf.DUMMYFUNCTION("""COMPUTED_VALUE"""),"イチローズモルト秩父 オンザウェイ 2013")</f>
        <v>イチローズモルト秩父 オンザウェイ 2013</v>
      </c>
      <c r="H55" s="35"/>
      <c r="I55" s="35"/>
      <c r="J55" s="34"/>
      <c r="K55" s="34"/>
      <c r="L55" s="35"/>
      <c r="M55" s="35"/>
      <c r="N55" s="36"/>
      <c r="O55" s="35"/>
      <c r="P55" s="37">
        <f>IFERROR(__xludf.DUMMYFUNCTION("""COMPUTED_VALUE"""),3000.0)</f>
        <v>3000</v>
      </c>
      <c r="Q55" s="37">
        <f>IFERROR(__xludf.DUMMYFUNCTION("""COMPUTED_VALUE"""),1600.0)</f>
        <v>1600</v>
      </c>
      <c r="R55" s="37"/>
      <c r="S55" s="38">
        <f>IFERROR(__xludf.DUMMYFUNCTION("""COMPUTED_VALUE"""),44903.0)</f>
        <v>44903</v>
      </c>
      <c r="T55" s="35"/>
      <c r="U55" s="35"/>
      <c r="V55" s="35"/>
      <c r="W55" s="35"/>
      <c r="X55" s="35"/>
      <c r="Y55" s="35"/>
      <c r="Z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IFERROR(__xludf.DUMMYFUNCTION("""COMPUTED_VALUE"""),"ベンチャー")</f>
        <v>ベンチャー</v>
      </c>
      <c r="C56" s="35" t="str">
        <f>IFERROR(__xludf.DUMMYFUNCTION("""COMPUTED_VALUE"""),"ベンチャー")</f>
        <v>ベンチャー</v>
      </c>
      <c r="D56" s="35" t="str">
        <f>IFERROR(__xludf.DUMMYFUNCTION("""COMPUTED_VALUE"""),"秩父")</f>
        <v>秩父</v>
      </c>
      <c r="E56" s="35" t="str">
        <f>IFERROR(__xludf.DUMMYFUNCTION("""COMPUTED_VALUE"""),"シングルモルト")</f>
        <v>シングルモルト</v>
      </c>
      <c r="F56" s="35"/>
      <c r="G56" s="35" t="str">
        <f>IFERROR(__xludf.DUMMYFUNCTION("""COMPUTED_VALUE"""),"イチローズモルト秩父 オンザウェイ 2015")</f>
        <v>イチローズモルト秩父 オンザウェイ 2015</v>
      </c>
      <c r="H56" s="35"/>
      <c r="I56" s="35"/>
      <c r="J56" s="34"/>
      <c r="K56" s="34"/>
      <c r="L56" s="35"/>
      <c r="M56" s="35"/>
      <c r="N56" s="36"/>
      <c r="O56" s="35"/>
      <c r="P56" s="37">
        <f>IFERROR(__xludf.DUMMYFUNCTION("""COMPUTED_VALUE"""),3000.0)</f>
        <v>3000</v>
      </c>
      <c r="Q56" s="37">
        <f>IFERROR(__xludf.DUMMYFUNCTION("""COMPUTED_VALUE"""),1600.0)</f>
        <v>1600</v>
      </c>
      <c r="R56" s="37"/>
      <c r="S56" s="38">
        <f>IFERROR(__xludf.DUMMYFUNCTION("""COMPUTED_VALUE"""),44904.0)</f>
        <v>44904</v>
      </c>
      <c r="T56" s="35"/>
      <c r="U56" s="35"/>
      <c r="V56" s="35"/>
      <c r="W56" s="35"/>
      <c r="X56" s="35"/>
      <c r="Y56" s="35"/>
      <c r="Z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IFERROR(__xludf.DUMMYFUNCTION("""COMPUTED_VALUE"""),"ベンチャー")</f>
        <v>ベンチャー</v>
      </c>
      <c r="C57" s="35" t="str">
        <f>IFERROR(__xludf.DUMMYFUNCTION("""COMPUTED_VALUE"""),"ベンチャー")</f>
        <v>ベンチャー</v>
      </c>
      <c r="D57" s="35" t="str">
        <f>IFERROR(__xludf.DUMMYFUNCTION("""COMPUTED_VALUE"""),"秩父")</f>
        <v>秩父</v>
      </c>
      <c r="E57" s="35" t="str">
        <f>IFERROR(__xludf.DUMMYFUNCTION("""COMPUTED_VALUE"""),"シングルモルト")</f>
        <v>シングルモルト</v>
      </c>
      <c r="F57" s="35"/>
      <c r="G57" s="35" t="str">
        <f>IFERROR(__xludf.DUMMYFUNCTION("""COMPUTED_VALUE"""),"イチローズモルト秩父 オンザウェイ 2019")</f>
        <v>イチローズモルト秩父 オンザウェイ 2019</v>
      </c>
      <c r="H57" s="35"/>
      <c r="I57" s="35"/>
      <c r="J57" s="34"/>
      <c r="K57" s="34"/>
      <c r="L57" s="35"/>
      <c r="M57" s="35"/>
      <c r="N57" s="36"/>
      <c r="O57" s="35"/>
      <c r="P57" s="37">
        <f>IFERROR(__xludf.DUMMYFUNCTION("""COMPUTED_VALUE"""),3000.0)</f>
        <v>3000</v>
      </c>
      <c r="Q57" s="37">
        <f>IFERROR(__xludf.DUMMYFUNCTION("""COMPUTED_VALUE"""),1600.0)</f>
        <v>1600</v>
      </c>
      <c r="R57" s="37"/>
      <c r="S57" s="38">
        <f>IFERROR(__xludf.DUMMYFUNCTION("""COMPUTED_VALUE"""),44905.0)</f>
        <v>44905</v>
      </c>
      <c r="T57" s="35"/>
      <c r="U57" s="35"/>
      <c r="V57" s="35"/>
      <c r="W57" s="35"/>
      <c r="X57" s="35"/>
      <c r="Y57" s="35"/>
      <c r="Z57" s="35"/>
    </row>
    <row r="58" ht="15.75" customHeight="1">
      <c r="A58" s="35" t="str">
        <f>IFERROR(__xludf.DUMMYFUNCTION("""COMPUTED_VALUE"""),"JP")</f>
        <v>JP</v>
      </c>
      <c r="B58" s="35" t="str">
        <f>IFERROR(__xludf.DUMMYFUNCTION("""COMPUTED_VALUE"""),"ベンチャー")</f>
        <v>ベンチャー</v>
      </c>
      <c r="C58" s="35" t="str">
        <f>IFERROR(__xludf.DUMMYFUNCTION("""COMPUTED_VALUE"""),"ベンチャー")</f>
        <v>ベンチャー</v>
      </c>
      <c r="D58" s="35" t="str">
        <f>IFERROR(__xludf.DUMMYFUNCTION("""COMPUTED_VALUE"""),"秩父")</f>
        <v>秩父</v>
      </c>
      <c r="E58" s="35" t="str">
        <f>IFERROR(__xludf.DUMMYFUNCTION("""COMPUTED_VALUE"""),"シングルモルト")</f>
        <v>シングルモルト</v>
      </c>
      <c r="F58" s="35"/>
      <c r="G58" s="35" t="str">
        <f>IFERROR(__xludf.DUMMYFUNCTION("""COMPUTED_VALUE"""),"イチローズモルト秩父 オンザウェイ 2024")</f>
        <v>イチローズモルト秩父 オンザウェイ 2024</v>
      </c>
      <c r="H58" s="35"/>
      <c r="I58" s="35"/>
      <c r="J58" s="34"/>
      <c r="K58" s="34"/>
      <c r="L58" s="35"/>
      <c r="M58" s="35"/>
      <c r="N58" s="36"/>
      <c r="O58" s="35"/>
      <c r="P58" s="37">
        <f>IFERROR(__xludf.DUMMYFUNCTION("""COMPUTED_VALUE"""),3000.0)</f>
        <v>3000</v>
      </c>
      <c r="Q58" s="37">
        <f>IFERROR(__xludf.DUMMYFUNCTION("""COMPUTED_VALUE"""),1600.0)</f>
        <v>1600</v>
      </c>
      <c r="R58" s="37"/>
      <c r="S58" s="38">
        <f>IFERROR(__xludf.DUMMYFUNCTION("""COMPUTED_VALUE"""),45499.0)</f>
        <v>45499</v>
      </c>
      <c r="T58" s="35"/>
      <c r="U58" s="35"/>
      <c r="V58" s="35"/>
      <c r="W58" s="35"/>
      <c r="X58" s="35"/>
      <c r="Y58" s="35"/>
      <c r="Z58" s="35"/>
    </row>
    <row r="59" ht="15.75" customHeight="1">
      <c r="A59" s="35" t="str">
        <f>IFERROR(__xludf.DUMMYFUNCTION("""COMPUTED_VALUE"""),"JP")</f>
        <v>JP</v>
      </c>
      <c r="B59" s="35" t="str">
        <f>IFERROR(__xludf.DUMMYFUNCTION("""COMPUTED_VALUE"""),"ベンチャー")</f>
        <v>ベンチャー</v>
      </c>
      <c r="C59" s="35" t="str">
        <f>IFERROR(__xludf.DUMMYFUNCTION("""COMPUTED_VALUE"""),"ベンチャー")</f>
        <v>ベンチャー</v>
      </c>
      <c r="D59" s="35" t="str">
        <f>IFERROR(__xludf.DUMMYFUNCTION("""COMPUTED_VALUE"""),"秩父")</f>
        <v>秩父</v>
      </c>
      <c r="E59" s="35" t="str">
        <f>IFERROR(__xludf.DUMMYFUNCTION("""COMPUTED_VALUE"""),"シングルモルト")</f>
        <v>シングルモルト</v>
      </c>
      <c r="F59" s="35"/>
      <c r="G59" s="35" t="str">
        <f>IFERROR(__xludf.DUMMYFUNCTION("""COMPUTED_VALUE"""),"イチローズモルト秩父 ちびダル 2014")</f>
        <v>イチローズモルト秩父 ちびダル 2014</v>
      </c>
      <c r="H59" s="35"/>
      <c r="I59" s="35"/>
      <c r="J59" s="34"/>
      <c r="K59" s="34"/>
      <c r="L59" s="35"/>
      <c r="M59" s="35"/>
      <c r="N59" s="36"/>
      <c r="O59" s="35"/>
      <c r="P59" s="37">
        <f>IFERROR(__xludf.DUMMYFUNCTION("""COMPUTED_VALUE"""),3000.0)</f>
        <v>3000</v>
      </c>
      <c r="Q59" s="37">
        <f>IFERROR(__xludf.DUMMYFUNCTION("""COMPUTED_VALUE"""),1600.0)</f>
        <v>1600</v>
      </c>
      <c r="R59" s="37"/>
      <c r="S59" s="38">
        <f>IFERROR(__xludf.DUMMYFUNCTION("""COMPUTED_VALUE"""),45055.0)</f>
        <v>45055</v>
      </c>
      <c r="T59" s="35"/>
      <c r="U59" s="35"/>
      <c r="V59" s="35"/>
      <c r="W59" s="35"/>
      <c r="X59" s="35"/>
      <c r="Y59" s="35"/>
      <c r="Z59" s="35"/>
    </row>
    <row r="60" ht="15.75" customHeight="1">
      <c r="A60" s="35" t="str">
        <f>IFERROR(__xludf.DUMMYFUNCTION("""COMPUTED_VALUE"""),"JP")</f>
        <v>JP</v>
      </c>
      <c r="B60" s="35" t="str">
        <f>IFERROR(__xludf.DUMMYFUNCTION("""COMPUTED_VALUE"""),"ベンチャー")</f>
        <v>ベンチャー</v>
      </c>
      <c r="C60" s="35" t="str">
        <f>IFERROR(__xludf.DUMMYFUNCTION("""COMPUTED_VALUE"""),"ベンチャー")</f>
        <v>ベンチャー</v>
      </c>
      <c r="D60" s="35" t="str">
        <f>IFERROR(__xludf.DUMMYFUNCTION("""COMPUTED_VALUE"""),"秩父")</f>
        <v>秩父</v>
      </c>
      <c r="E60" s="35" t="str">
        <f>IFERROR(__xludf.DUMMYFUNCTION("""COMPUTED_VALUE"""),"シングルモルト")</f>
        <v>シングルモルト</v>
      </c>
      <c r="F60" s="35"/>
      <c r="G60" s="35" t="str">
        <f>IFERROR(__xludf.DUMMYFUNCTION("""COMPUTED_VALUE"""),"イチローズモルト秩父 ピーテッド 2015")</f>
        <v>イチローズモルト秩父 ピーテッド 2015</v>
      </c>
      <c r="H60" s="35"/>
      <c r="I60" s="35"/>
      <c r="J60" s="34"/>
      <c r="K60" s="34"/>
      <c r="L60" s="35"/>
      <c r="M60" s="35"/>
      <c r="N60" s="36"/>
      <c r="O60" s="35"/>
      <c r="P60" s="37">
        <f>IFERROR(__xludf.DUMMYFUNCTION("""COMPUTED_VALUE"""),3000.0)</f>
        <v>3000</v>
      </c>
      <c r="Q60" s="37">
        <f>IFERROR(__xludf.DUMMYFUNCTION("""COMPUTED_VALUE"""),1600.0)</f>
        <v>1600</v>
      </c>
      <c r="R60" s="37"/>
      <c r="S60" s="38">
        <f>IFERROR(__xludf.DUMMYFUNCTION("""COMPUTED_VALUE"""),45062.0)</f>
        <v>45062</v>
      </c>
      <c r="T60" s="35"/>
      <c r="U60" s="35"/>
      <c r="V60" s="35"/>
      <c r="W60" s="35"/>
      <c r="X60" s="35"/>
      <c r="Y60" s="35"/>
      <c r="Z60" s="35"/>
    </row>
    <row r="61" ht="15.75" customHeight="1">
      <c r="A61" s="35" t="str">
        <f>IFERROR(__xludf.DUMMYFUNCTION("""COMPUTED_VALUE"""),"JP")</f>
        <v>JP</v>
      </c>
      <c r="B61" s="35" t="str">
        <f>IFERROR(__xludf.DUMMYFUNCTION("""COMPUTED_VALUE"""),"ベンチャー")</f>
        <v>ベンチャー</v>
      </c>
      <c r="C61" s="35" t="str">
        <f>IFERROR(__xludf.DUMMYFUNCTION("""COMPUTED_VALUE"""),"ベンチャー")</f>
        <v>ベンチャー</v>
      </c>
      <c r="D61" s="35" t="str">
        <f>IFERROR(__xludf.DUMMYFUNCTION("""COMPUTED_VALUE"""),"秩父")</f>
        <v>秩父</v>
      </c>
      <c r="E61" s="35" t="str">
        <f>IFERROR(__xludf.DUMMYFUNCTION("""COMPUTED_VALUE"""),"シングルモルト")</f>
        <v>シングルモルト</v>
      </c>
      <c r="F61" s="35"/>
      <c r="G61" s="35" t="str">
        <f>IFERROR(__xludf.DUMMYFUNCTION("""COMPUTED_VALUE"""),"イチローズモルト秩父 ピーテッド 2018")</f>
        <v>イチローズモルト秩父 ピーテッド 2018</v>
      </c>
      <c r="H61" s="35"/>
      <c r="I61" s="35"/>
      <c r="J61" s="34"/>
      <c r="K61" s="34"/>
      <c r="L61" s="35"/>
      <c r="M61" s="35"/>
      <c r="N61" s="36"/>
      <c r="O61" s="35"/>
      <c r="P61" s="37">
        <f>IFERROR(__xludf.DUMMYFUNCTION("""COMPUTED_VALUE"""),3000.0)</f>
        <v>3000</v>
      </c>
      <c r="Q61" s="37">
        <f>IFERROR(__xludf.DUMMYFUNCTION("""COMPUTED_VALUE"""),1600.0)</f>
        <v>1600</v>
      </c>
      <c r="R61" s="37"/>
      <c r="S61" s="38">
        <f>IFERROR(__xludf.DUMMYFUNCTION("""COMPUTED_VALUE"""),45061.0)</f>
        <v>45061</v>
      </c>
      <c r="T61" s="35"/>
      <c r="U61" s="35"/>
      <c r="V61" s="35"/>
      <c r="W61" s="35"/>
      <c r="X61" s="35"/>
      <c r="Y61" s="35"/>
      <c r="Z61" s="35"/>
    </row>
    <row r="62" ht="15.75" customHeight="1">
      <c r="A62" s="35" t="str">
        <f>IFERROR(__xludf.DUMMYFUNCTION("""COMPUTED_VALUE"""),"JP")</f>
        <v>JP</v>
      </c>
      <c r="B62" s="35" t="str">
        <f>IFERROR(__xludf.DUMMYFUNCTION("""COMPUTED_VALUE"""),"ベンチャー")</f>
        <v>ベンチャー</v>
      </c>
      <c r="C62" s="35" t="str">
        <f>IFERROR(__xludf.DUMMYFUNCTION("""COMPUTED_VALUE"""),"ベンチャー")</f>
        <v>ベンチャー</v>
      </c>
      <c r="D62" s="35" t="str">
        <f>IFERROR(__xludf.DUMMYFUNCTION("""COMPUTED_VALUE"""),"秩父")</f>
        <v>秩父</v>
      </c>
      <c r="E62" s="35" t="str">
        <f>IFERROR(__xludf.DUMMYFUNCTION("""COMPUTED_VALUE"""),"シングルモルト")</f>
        <v>シングルモルト</v>
      </c>
      <c r="F62" s="35"/>
      <c r="G62" s="35" t="str">
        <f>IFERROR(__xludf.DUMMYFUNCTION("""COMPUTED_VALUE"""),"イチローズモルト秩父 ピーテッド 2022")</f>
        <v>イチローズモルト秩父 ピーテッド 2022</v>
      </c>
      <c r="H62" s="35"/>
      <c r="I62" s="35"/>
      <c r="J62" s="34"/>
      <c r="K62" s="34"/>
      <c r="L62" s="35"/>
      <c r="M62" s="35"/>
      <c r="N62" s="36"/>
      <c r="O62" s="35"/>
      <c r="P62" s="37">
        <f>IFERROR(__xludf.DUMMYFUNCTION("""COMPUTED_VALUE"""),3000.0)</f>
        <v>3000</v>
      </c>
      <c r="Q62" s="37">
        <f>IFERROR(__xludf.DUMMYFUNCTION("""COMPUTED_VALUE"""),1600.0)</f>
        <v>1600</v>
      </c>
      <c r="R62" s="37"/>
      <c r="S62" s="38">
        <f>IFERROR(__xludf.DUMMYFUNCTION("""COMPUTED_VALUE"""),45060.0)</f>
        <v>45060</v>
      </c>
      <c r="T62" s="35"/>
      <c r="U62" s="35"/>
      <c r="V62" s="35"/>
      <c r="W62" s="35"/>
      <c r="X62" s="35"/>
      <c r="Y62" s="35"/>
      <c r="Z62" s="35"/>
    </row>
    <row r="63" ht="15.75" customHeight="1">
      <c r="A63" s="35" t="str">
        <f>IFERROR(__xludf.DUMMYFUNCTION("""COMPUTED_VALUE"""),"JP")</f>
        <v>JP</v>
      </c>
      <c r="B63" s="35" t="str">
        <f>IFERROR(__xludf.DUMMYFUNCTION("""COMPUTED_VALUE"""),"ベンチャー")</f>
        <v>ベンチャー</v>
      </c>
      <c r="C63" s="35" t="str">
        <f>IFERROR(__xludf.DUMMYFUNCTION("""COMPUTED_VALUE"""),"ベンチャー")</f>
        <v>ベンチャー</v>
      </c>
      <c r="D63" s="35" t="str">
        <f>IFERROR(__xludf.DUMMYFUNCTION("""COMPUTED_VALUE"""),"秩父")</f>
        <v>秩父</v>
      </c>
      <c r="E63" s="35" t="str">
        <f>IFERROR(__xludf.DUMMYFUNCTION("""COMPUTED_VALUE"""),"シングルモルト")</f>
        <v>シングルモルト</v>
      </c>
      <c r="F63" s="35"/>
      <c r="G63" s="35" t="str">
        <f>IFERROR(__xludf.DUMMYFUNCTION("""COMPUTED_VALUE"""),"イチローズモルト秩父 IPAカスクフィニッシュ 2017")</f>
        <v>イチローズモルト秩父 IPAカスクフィニッシュ 2017</v>
      </c>
      <c r="H63" s="35"/>
      <c r="I63" s="35"/>
      <c r="J63" s="34"/>
      <c r="K63" s="34"/>
      <c r="L63" s="35"/>
      <c r="M63" s="35"/>
      <c r="N63" s="36"/>
      <c r="O63" s="35"/>
      <c r="P63" s="37">
        <f>IFERROR(__xludf.DUMMYFUNCTION("""COMPUTED_VALUE"""),3000.0)</f>
        <v>3000</v>
      </c>
      <c r="Q63" s="37">
        <f>IFERROR(__xludf.DUMMYFUNCTION("""COMPUTED_VALUE"""),1600.0)</f>
        <v>1600</v>
      </c>
      <c r="R63" s="37"/>
      <c r="S63" s="38">
        <f>IFERROR(__xludf.DUMMYFUNCTION("""COMPUTED_VALUE"""),45058.0)</f>
        <v>45058</v>
      </c>
      <c r="T63" s="35"/>
      <c r="U63" s="35"/>
      <c r="V63" s="35"/>
      <c r="W63" s="35"/>
      <c r="X63" s="35"/>
      <c r="Y63" s="35"/>
      <c r="Z63" s="35"/>
    </row>
    <row r="64" ht="15.75" customHeight="1">
      <c r="A64" s="35" t="str">
        <f>IFERROR(__xludf.DUMMYFUNCTION("""COMPUTED_VALUE"""),"JP")</f>
        <v>JP</v>
      </c>
      <c r="B64" s="35" t="str">
        <f>IFERROR(__xludf.DUMMYFUNCTION("""COMPUTED_VALUE"""),"ベンチャー")</f>
        <v>ベンチャー</v>
      </c>
      <c r="C64" s="35" t="str">
        <f>IFERROR(__xludf.DUMMYFUNCTION("""COMPUTED_VALUE"""),"ベンチャー")</f>
        <v>ベンチャー</v>
      </c>
      <c r="D64" s="35" t="str">
        <f>IFERROR(__xludf.DUMMYFUNCTION("""COMPUTED_VALUE"""),"秩父")</f>
        <v>秩父</v>
      </c>
      <c r="E64" s="35" t="str">
        <f>IFERROR(__xludf.DUMMYFUNCTION("""COMPUTED_VALUE"""),"シングルモルト")</f>
        <v>シングルモルト</v>
      </c>
      <c r="F64" s="35"/>
      <c r="G64" s="35" t="str">
        <f>IFERROR(__xludf.DUMMYFUNCTION("""COMPUTED_VALUE"""),"イチローズモルト秩父 レッドワインカスク 2023")</f>
        <v>イチローズモルト秩父 レッドワインカスク 2023</v>
      </c>
      <c r="H64" s="35"/>
      <c r="I64" s="35"/>
      <c r="J64" s="34"/>
      <c r="K64" s="34"/>
      <c r="L64" s="35"/>
      <c r="M64" s="35"/>
      <c r="N64" s="36"/>
      <c r="O64" s="35"/>
      <c r="P64" s="37">
        <f>IFERROR(__xludf.DUMMYFUNCTION("""COMPUTED_VALUE"""),3000.0)</f>
        <v>3000</v>
      </c>
      <c r="Q64" s="37">
        <f>IFERROR(__xludf.DUMMYFUNCTION("""COMPUTED_VALUE"""),1600.0)</f>
        <v>1600</v>
      </c>
      <c r="R64" s="37"/>
      <c r="S64" s="38">
        <f>IFERROR(__xludf.DUMMYFUNCTION("""COMPUTED_VALUE"""),45184.0)</f>
        <v>45184</v>
      </c>
      <c r="T64" s="35"/>
      <c r="U64" s="35"/>
      <c r="V64" s="35"/>
      <c r="W64" s="35"/>
      <c r="X64" s="35"/>
      <c r="Y64" s="35"/>
      <c r="Z64" s="35"/>
    </row>
    <row r="65" ht="15.75" customHeight="1">
      <c r="A65" s="35" t="str">
        <f>IFERROR(__xludf.DUMMYFUNCTION("""COMPUTED_VALUE"""),"JP")</f>
        <v>JP</v>
      </c>
      <c r="B65" s="35" t="str">
        <f>IFERROR(__xludf.DUMMYFUNCTION("""COMPUTED_VALUE"""),"ベンチャー")</f>
        <v>ベンチャー</v>
      </c>
      <c r="C65" s="35" t="str">
        <f>IFERROR(__xludf.DUMMYFUNCTION("""COMPUTED_VALUE"""),"ベンチャー")</f>
        <v>ベンチャー</v>
      </c>
      <c r="D65" s="35" t="str">
        <f>IFERROR(__xludf.DUMMYFUNCTION("""COMPUTED_VALUE"""),"秩父")</f>
        <v>秩父</v>
      </c>
      <c r="E65" s="35" t="str">
        <f>IFERROR(__xludf.DUMMYFUNCTION("""COMPUTED_VALUE"""),"シングルモルト")</f>
        <v>シングルモルト</v>
      </c>
      <c r="F65" s="35"/>
      <c r="G65" s="35" t="str">
        <f>IFERROR(__xludf.DUMMYFUNCTION("""COMPUTED_VALUE"""),"イチローズモルト秩父 ファーストテン")</f>
        <v>イチローズモルト秩父 ファーストテン</v>
      </c>
      <c r="H65" s="35"/>
      <c r="I65" s="35"/>
      <c r="J65" s="34"/>
      <c r="K65" s="34"/>
      <c r="L65" s="35"/>
      <c r="M65" s="35"/>
      <c r="N65" s="36"/>
      <c r="O65" s="35"/>
      <c r="P65" s="37"/>
      <c r="Q65" s="37"/>
      <c r="R65" s="37">
        <f>IFERROR(__xludf.DUMMYFUNCTION("""COMPUTED_VALUE"""),2200.0)</f>
        <v>2200</v>
      </c>
      <c r="S65" s="38">
        <f>IFERROR(__xludf.DUMMYFUNCTION("""COMPUTED_VALUE"""),44974.0)</f>
        <v>44974</v>
      </c>
      <c r="T65" s="35"/>
      <c r="U65" s="35"/>
      <c r="V65" s="35"/>
      <c r="W65" s="35"/>
      <c r="X65" s="35"/>
      <c r="Y65" s="35"/>
      <c r="Z65" s="35"/>
    </row>
    <row r="66" ht="15.75" customHeight="1">
      <c r="A66" s="35" t="str">
        <f>IFERROR(__xludf.DUMMYFUNCTION("""COMPUTED_VALUE"""),"JP")</f>
        <v>JP</v>
      </c>
      <c r="B66" s="35" t="str">
        <f>IFERROR(__xludf.DUMMYFUNCTION("""COMPUTED_VALUE"""),"ベンチャー")</f>
        <v>ベンチャー</v>
      </c>
      <c r="C66" s="35" t="str">
        <f>IFERROR(__xludf.DUMMYFUNCTION("""COMPUTED_VALUE"""),"ベンチャー")</f>
        <v>ベンチャー</v>
      </c>
      <c r="D66" s="35" t="str">
        <f>IFERROR(__xludf.DUMMYFUNCTION("""COMPUTED_VALUE"""),"秩父")</f>
        <v>秩父</v>
      </c>
      <c r="E66" s="35" t="str">
        <f>IFERROR(__xludf.DUMMYFUNCTION("""COMPUTED_VALUE"""),"シングルモルト")</f>
        <v>シングルモルト</v>
      </c>
      <c r="F66" s="35"/>
      <c r="G66" s="35" t="str">
        <f>IFERROR(__xludf.DUMMYFUNCTION("""COMPUTED_VALUE"""),"イチローズモルト秩父 食源探訪 2015W")</f>
        <v>イチローズモルト秩父 食源探訪 2015W</v>
      </c>
      <c r="H66" s="35" t="str">
        <f>IFERROR(__xludf.DUMMYFUNCTION("""COMPUTED_VALUE"""),"for 西武・そごう")</f>
        <v>for 西武・そごう</v>
      </c>
      <c r="I66" s="35"/>
      <c r="J66" s="34"/>
      <c r="K66" s="34"/>
      <c r="L66" s="35"/>
      <c r="M66" s="35"/>
      <c r="N66" s="36"/>
      <c r="O66" s="35"/>
      <c r="P66" s="37">
        <f>IFERROR(__xludf.DUMMYFUNCTION("""COMPUTED_VALUE"""),3000.0)</f>
        <v>3000</v>
      </c>
      <c r="Q66" s="37">
        <f>IFERROR(__xludf.DUMMYFUNCTION("""COMPUTED_VALUE"""),1600.0)</f>
        <v>1600</v>
      </c>
      <c r="R66" s="37"/>
      <c r="S66" s="38">
        <f>IFERROR(__xludf.DUMMYFUNCTION("""COMPUTED_VALUE"""),45475.0)</f>
        <v>45475</v>
      </c>
      <c r="T66" s="35"/>
      <c r="U66" s="35"/>
      <c r="V66" s="35"/>
      <c r="W66" s="35"/>
      <c r="X66" s="35"/>
      <c r="Y66" s="35"/>
      <c r="Z66" s="35"/>
    </row>
    <row r="67" ht="15.75" customHeight="1">
      <c r="A67" s="35" t="str">
        <f>IFERROR(__xludf.DUMMYFUNCTION("""COMPUTED_VALUE"""),"JP")</f>
        <v>JP</v>
      </c>
      <c r="B67" s="35" t="str">
        <f>IFERROR(__xludf.DUMMYFUNCTION("""COMPUTED_VALUE"""),"マルス")</f>
        <v>マルス</v>
      </c>
      <c r="C67" s="35" t="str">
        <f>IFERROR(__xludf.DUMMYFUNCTION("""COMPUTED_VALUE"""),"マルス")</f>
        <v>マルス</v>
      </c>
      <c r="D67" s="35" t="str">
        <f>IFERROR(__xludf.DUMMYFUNCTION("""COMPUTED_VALUE"""),"駒ヶ岳")</f>
        <v>駒ヶ岳</v>
      </c>
      <c r="E67" s="35" t="str">
        <f>IFERROR(__xludf.DUMMYFUNCTION("""COMPUTED_VALUE"""),"シングルモルト")</f>
        <v>シングルモルト</v>
      </c>
      <c r="F67" s="35"/>
      <c r="G67" s="35" t="str">
        <f>IFERROR(__xludf.DUMMYFUNCTION("""COMPUTED_VALUE"""),"駒ヶ岳")</f>
        <v>駒ヶ岳</v>
      </c>
      <c r="H67" s="35"/>
      <c r="I67" s="35"/>
      <c r="J67" s="34"/>
      <c r="K67" s="34"/>
      <c r="L67" s="35" t="str">
        <f>IFERROR(__xludf.DUMMYFUNCTION("""COMPUTED_VALUE"""),"✓")</f>
        <v>✓</v>
      </c>
      <c r="M67" s="35"/>
      <c r="N67" s="36">
        <f>IFERROR(__xludf.DUMMYFUNCTION("""COMPUTED_VALUE"""),0.45)</f>
        <v>0.45</v>
      </c>
      <c r="O67" s="35"/>
      <c r="P67" s="37">
        <f>IFERROR(__xludf.DUMMYFUNCTION("""COMPUTED_VALUE"""),1400.0)</f>
        <v>1400</v>
      </c>
      <c r="Q67" s="37">
        <f>IFERROR(__xludf.DUMMYFUNCTION("""COMPUTED_VALUE"""),800.0)</f>
        <v>800</v>
      </c>
      <c r="R67" s="37"/>
      <c r="S67" s="38"/>
      <c r="T67" s="35"/>
      <c r="U67" s="35"/>
      <c r="V67" s="35"/>
      <c r="W67" s="35"/>
      <c r="X67" s="35"/>
      <c r="Y67" s="35"/>
      <c r="Z67" s="35"/>
    </row>
    <row r="68" ht="15.75" customHeight="1">
      <c r="A68" s="35" t="str">
        <f>IFERROR(__xludf.DUMMYFUNCTION("""COMPUTED_VALUE"""),"JP")</f>
        <v>JP</v>
      </c>
      <c r="B68" s="35" t="str">
        <f>IFERROR(__xludf.DUMMYFUNCTION("""COMPUTED_VALUE"""),"マルス")</f>
        <v>マルス</v>
      </c>
      <c r="C68" s="35" t="str">
        <f>IFERROR(__xludf.DUMMYFUNCTION("""COMPUTED_VALUE"""),"マルス")</f>
        <v>マルス</v>
      </c>
      <c r="D68" s="35" t="str">
        <f>IFERROR(__xludf.DUMMYFUNCTION("""COMPUTED_VALUE"""),"駒ヶ岳")</f>
        <v>駒ヶ岳</v>
      </c>
      <c r="E68" s="35" t="str">
        <f>IFERROR(__xludf.DUMMYFUNCTION("""COMPUTED_VALUE"""),"シングルモルト")</f>
        <v>シングルモルト</v>
      </c>
      <c r="F68" s="35"/>
      <c r="G68" s="35" t="str">
        <f>IFERROR(__xludf.DUMMYFUNCTION("""COMPUTED_VALUE"""),"駒ヶ岳 リミテッドエディション 2018")</f>
        <v>駒ヶ岳 リミテッドエディション 2018</v>
      </c>
      <c r="H68" s="35"/>
      <c r="I68" s="35"/>
      <c r="J68" s="34"/>
      <c r="K68" s="34"/>
      <c r="L68" s="35"/>
      <c r="M68" s="35"/>
      <c r="N68" s="36"/>
      <c r="O68" s="35"/>
      <c r="P68" s="37">
        <f>IFERROR(__xludf.DUMMYFUNCTION("""COMPUTED_VALUE"""),1600.0)</f>
        <v>1600</v>
      </c>
      <c r="Q68" s="37">
        <f>IFERROR(__xludf.DUMMYFUNCTION("""COMPUTED_VALUE"""),900.0)</f>
        <v>900</v>
      </c>
      <c r="R68" s="37"/>
      <c r="S68" s="38"/>
      <c r="T68" s="35"/>
      <c r="U68" s="35"/>
      <c r="V68" s="35"/>
      <c r="W68" s="35"/>
      <c r="X68" s="35"/>
      <c r="Y68" s="35"/>
      <c r="Z68" s="35"/>
    </row>
    <row r="69" ht="15.75" customHeight="1">
      <c r="A69" s="35" t="str">
        <f>IFERROR(__xludf.DUMMYFUNCTION("""COMPUTED_VALUE"""),"JP")</f>
        <v>JP</v>
      </c>
      <c r="B69" s="35" t="str">
        <f>IFERROR(__xludf.DUMMYFUNCTION("""COMPUTED_VALUE"""),"マルス")</f>
        <v>マルス</v>
      </c>
      <c r="C69" s="35" t="str">
        <f>IFERROR(__xludf.DUMMYFUNCTION("""COMPUTED_VALUE"""),"マルス")</f>
        <v>マルス</v>
      </c>
      <c r="D69" s="35" t="str">
        <f>IFERROR(__xludf.DUMMYFUNCTION("""COMPUTED_VALUE"""),"駒ヶ岳")</f>
        <v>駒ヶ岳</v>
      </c>
      <c r="E69" s="35" t="str">
        <f>IFERROR(__xludf.DUMMYFUNCTION("""COMPUTED_VALUE"""),"シングルモルト")</f>
        <v>シングルモルト</v>
      </c>
      <c r="F69" s="35"/>
      <c r="G69" s="35" t="str">
        <f>IFERROR(__xludf.DUMMYFUNCTION("""COMPUTED_VALUE"""),"駒ヶ岳 リミテッドエディション 2019")</f>
        <v>駒ヶ岳 リミテッドエディション 2019</v>
      </c>
      <c r="H69" s="35"/>
      <c r="I69" s="35"/>
      <c r="J69" s="34"/>
      <c r="K69" s="34"/>
      <c r="L69" s="35"/>
      <c r="M69" s="35"/>
      <c r="N69" s="36"/>
      <c r="O69" s="35"/>
      <c r="P69" s="37">
        <f>IFERROR(__xludf.DUMMYFUNCTION("""COMPUTED_VALUE"""),1600.0)</f>
        <v>1600</v>
      </c>
      <c r="Q69" s="37">
        <f>IFERROR(__xludf.DUMMYFUNCTION("""COMPUTED_VALUE"""),900.0)</f>
        <v>900</v>
      </c>
      <c r="R69" s="37"/>
      <c r="S69" s="38"/>
      <c r="T69" s="35"/>
      <c r="U69" s="35"/>
      <c r="V69" s="35"/>
      <c r="W69" s="35"/>
      <c r="X69" s="35"/>
      <c r="Y69" s="35"/>
      <c r="Z69" s="35"/>
    </row>
    <row r="70" ht="15.75" customHeight="1">
      <c r="A70" s="35" t="str">
        <f>IFERROR(__xludf.DUMMYFUNCTION("""COMPUTED_VALUE"""),"JP")</f>
        <v>JP</v>
      </c>
      <c r="B70" s="35" t="str">
        <f>IFERROR(__xludf.DUMMYFUNCTION("""COMPUTED_VALUE"""),"マルス")</f>
        <v>マルス</v>
      </c>
      <c r="C70" s="35" t="str">
        <f>IFERROR(__xludf.DUMMYFUNCTION("""COMPUTED_VALUE"""),"マルス")</f>
        <v>マルス</v>
      </c>
      <c r="D70" s="35" t="str">
        <f>IFERROR(__xludf.DUMMYFUNCTION("""COMPUTED_VALUE"""),"駒ヶ岳")</f>
        <v>駒ヶ岳</v>
      </c>
      <c r="E70" s="35" t="str">
        <f>IFERROR(__xludf.DUMMYFUNCTION("""COMPUTED_VALUE"""),"シングルモルト")</f>
        <v>シングルモルト</v>
      </c>
      <c r="F70" s="35"/>
      <c r="G70" s="35" t="str">
        <f>IFERROR(__xludf.DUMMYFUNCTION("""COMPUTED_VALUE"""),"駒ヶ岳 リミテッドエディション 2020")</f>
        <v>駒ヶ岳 リミテッドエディション 2020</v>
      </c>
      <c r="H70" s="35"/>
      <c r="I70" s="35"/>
      <c r="J70" s="34"/>
      <c r="K70" s="34"/>
      <c r="L70" s="35"/>
      <c r="M70" s="35"/>
      <c r="N70" s="36"/>
      <c r="O70" s="35"/>
      <c r="P70" s="37">
        <f>IFERROR(__xludf.DUMMYFUNCTION("""COMPUTED_VALUE"""),1600.0)</f>
        <v>1600</v>
      </c>
      <c r="Q70" s="37">
        <f>IFERROR(__xludf.DUMMYFUNCTION("""COMPUTED_VALUE"""),900.0)</f>
        <v>900</v>
      </c>
      <c r="R70" s="37"/>
      <c r="S70" s="38"/>
      <c r="T70" s="35"/>
      <c r="U70" s="35"/>
      <c r="V70" s="35"/>
      <c r="W70" s="35"/>
      <c r="X70" s="35"/>
      <c r="Y70" s="35"/>
      <c r="Z70" s="35"/>
    </row>
    <row r="71" ht="15.75" customHeight="1">
      <c r="A71" s="35" t="str">
        <f>IFERROR(__xludf.DUMMYFUNCTION("""COMPUTED_VALUE"""),"JP")</f>
        <v>JP</v>
      </c>
      <c r="B71" s="35" t="str">
        <f>IFERROR(__xludf.DUMMYFUNCTION("""COMPUTED_VALUE"""),"マルス")</f>
        <v>マルス</v>
      </c>
      <c r="C71" s="35" t="str">
        <f>IFERROR(__xludf.DUMMYFUNCTION("""COMPUTED_VALUE"""),"マルス")</f>
        <v>マルス</v>
      </c>
      <c r="D71" s="35" t="str">
        <f>IFERROR(__xludf.DUMMYFUNCTION("""COMPUTED_VALUE"""),"駒ヶ岳")</f>
        <v>駒ヶ岳</v>
      </c>
      <c r="E71" s="35" t="str">
        <f>IFERROR(__xludf.DUMMYFUNCTION("""COMPUTED_VALUE"""),"シングルモルト")</f>
        <v>シングルモルト</v>
      </c>
      <c r="F71" s="35"/>
      <c r="G71" s="35" t="str">
        <f>IFERROR(__xludf.DUMMYFUNCTION("""COMPUTED_VALUE"""),"駒ヶ岳 2021エディション")</f>
        <v>駒ヶ岳 2021エディション</v>
      </c>
      <c r="H71" s="35"/>
      <c r="I71" s="35"/>
      <c r="J71" s="34"/>
      <c r="K71" s="34"/>
      <c r="L71" s="35"/>
      <c r="M71" s="35"/>
      <c r="N71" s="36"/>
      <c r="O71" s="35"/>
      <c r="P71" s="37">
        <f>IFERROR(__xludf.DUMMYFUNCTION("""COMPUTED_VALUE"""),1600.0)</f>
        <v>1600</v>
      </c>
      <c r="Q71" s="37">
        <f>IFERROR(__xludf.DUMMYFUNCTION("""COMPUTED_VALUE"""),900.0)</f>
        <v>900</v>
      </c>
      <c r="R71" s="37"/>
      <c r="S71" s="38"/>
      <c r="T71" s="35"/>
      <c r="U71" s="35"/>
      <c r="V71" s="35"/>
      <c r="W71" s="35"/>
      <c r="X71" s="35"/>
      <c r="Y71" s="35"/>
      <c r="Z71" s="35"/>
    </row>
    <row r="72" ht="15.75" customHeight="1">
      <c r="A72" s="35" t="str">
        <f>IFERROR(__xludf.DUMMYFUNCTION("""COMPUTED_VALUE"""),"JP")</f>
        <v>JP</v>
      </c>
      <c r="B72" s="35" t="str">
        <f>IFERROR(__xludf.DUMMYFUNCTION("""COMPUTED_VALUE"""),"マルス")</f>
        <v>マルス</v>
      </c>
      <c r="C72" s="35" t="str">
        <f>IFERROR(__xludf.DUMMYFUNCTION("""COMPUTED_VALUE"""),"マルス")</f>
        <v>マルス</v>
      </c>
      <c r="D72" s="35" t="str">
        <f>IFERROR(__xludf.DUMMYFUNCTION("""COMPUTED_VALUE"""),"駒ヶ岳")</f>
        <v>駒ヶ岳</v>
      </c>
      <c r="E72" s="35" t="str">
        <f>IFERROR(__xludf.DUMMYFUNCTION("""COMPUTED_VALUE"""),"シングルモルト")</f>
        <v>シングルモルト</v>
      </c>
      <c r="F72" s="35"/>
      <c r="G72" s="35" t="str">
        <f>IFERROR(__xludf.DUMMYFUNCTION("""COMPUTED_VALUE"""),"駒ヶ岳 2022エディション")</f>
        <v>駒ヶ岳 2022エディション</v>
      </c>
      <c r="H72" s="35"/>
      <c r="I72" s="35"/>
      <c r="J72" s="34"/>
      <c r="K72" s="34"/>
      <c r="L72" s="35"/>
      <c r="M72" s="35"/>
      <c r="N72" s="36"/>
      <c r="O72" s="35"/>
      <c r="P72" s="37">
        <f>IFERROR(__xludf.DUMMYFUNCTION("""COMPUTED_VALUE"""),1600.0)</f>
        <v>1600</v>
      </c>
      <c r="Q72" s="37">
        <f>IFERROR(__xludf.DUMMYFUNCTION("""COMPUTED_VALUE"""),900.0)</f>
        <v>900</v>
      </c>
      <c r="R72" s="37"/>
      <c r="S72" s="38">
        <f>IFERROR(__xludf.DUMMYFUNCTION("""COMPUTED_VALUE"""),44827.0)</f>
        <v>44827</v>
      </c>
      <c r="T72" s="35"/>
      <c r="U72" s="35"/>
      <c r="V72" s="35"/>
      <c r="W72" s="35"/>
      <c r="X72" s="35"/>
      <c r="Y72" s="35"/>
      <c r="Z72" s="35"/>
    </row>
    <row r="73" ht="15.75" customHeight="1">
      <c r="A73" s="35" t="str">
        <f>IFERROR(__xludf.DUMMYFUNCTION("""COMPUTED_VALUE"""),"JP")</f>
        <v>JP</v>
      </c>
      <c r="B73" s="35" t="str">
        <f>IFERROR(__xludf.DUMMYFUNCTION("""COMPUTED_VALUE"""),"マルス")</f>
        <v>マルス</v>
      </c>
      <c r="C73" s="35" t="str">
        <f>IFERROR(__xludf.DUMMYFUNCTION("""COMPUTED_VALUE"""),"マルス")</f>
        <v>マルス</v>
      </c>
      <c r="D73" s="35" t="str">
        <f>IFERROR(__xludf.DUMMYFUNCTION("""COMPUTED_VALUE"""),"駒ヶ岳")</f>
        <v>駒ヶ岳</v>
      </c>
      <c r="E73" s="35" t="str">
        <f>IFERROR(__xludf.DUMMYFUNCTION("""COMPUTED_VALUE"""),"シングルモルト")</f>
        <v>シングルモルト</v>
      </c>
      <c r="F73" s="35"/>
      <c r="G73" s="35" t="str">
        <f>IFERROR(__xludf.DUMMYFUNCTION("""COMPUTED_VALUE"""),"駒ヶ岳 2023エディション")</f>
        <v>駒ヶ岳 2023エディション</v>
      </c>
      <c r="H73" s="35"/>
      <c r="I73" s="35"/>
      <c r="J73" s="34"/>
      <c r="K73" s="34"/>
      <c r="L73" s="35"/>
      <c r="M73" s="35"/>
      <c r="N73" s="36"/>
      <c r="O73" s="35"/>
      <c r="P73" s="37">
        <f>IFERROR(__xludf.DUMMYFUNCTION("""COMPUTED_VALUE"""),1600.0)</f>
        <v>1600</v>
      </c>
      <c r="Q73" s="37">
        <f>IFERROR(__xludf.DUMMYFUNCTION("""COMPUTED_VALUE"""),900.0)</f>
        <v>900</v>
      </c>
      <c r="R73" s="37"/>
      <c r="S73" s="38"/>
      <c r="T73" s="35"/>
      <c r="U73" s="35"/>
      <c r="V73" s="35"/>
      <c r="W73" s="35"/>
      <c r="X73" s="35"/>
      <c r="Y73" s="35"/>
      <c r="Z73" s="35"/>
    </row>
    <row r="74" ht="15.75" customHeight="1">
      <c r="A74" s="35" t="str">
        <f>IFERROR(__xludf.DUMMYFUNCTION("""COMPUTED_VALUE"""),"JP")</f>
        <v>JP</v>
      </c>
      <c r="B74" s="35" t="str">
        <f>IFERROR(__xludf.DUMMYFUNCTION("""COMPUTED_VALUE"""),"マルス")</f>
        <v>マルス</v>
      </c>
      <c r="C74" s="35" t="str">
        <f>IFERROR(__xludf.DUMMYFUNCTION("""COMPUTED_VALUE"""),"マルス")</f>
        <v>マルス</v>
      </c>
      <c r="D74" s="35" t="str">
        <f>IFERROR(__xludf.DUMMYFUNCTION("""COMPUTED_VALUE"""),"駒ヶ岳")</f>
        <v>駒ヶ岳</v>
      </c>
      <c r="E74" s="35" t="str">
        <f>IFERROR(__xludf.DUMMYFUNCTION("""COMPUTED_VALUE"""),"シングルモルト")</f>
        <v>シングルモルト</v>
      </c>
      <c r="F74" s="35"/>
      <c r="G74" s="35" t="str">
        <f>IFERROR(__xludf.DUMMYFUNCTION("""COMPUTED_VALUE"""),"駒ヶ岳 2024エディション")</f>
        <v>駒ヶ岳 2024エディション</v>
      </c>
      <c r="H74" s="35"/>
      <c r="I74" s="35"/>
      <c r="J74" s="34"/>
      <c r="K74" s="34"/>
      <c r="L74" s="35"/>
      <c r="M74" s="35"/>
      <c r="N74" s="36"/>
      <c r="O74" s="35"/>
      <c r="P74" s="37">
        <f>IFERROR(__xludf.DUMMYFUNCTION("""COMPUTED_VALUE"""),1600.0)</f>
        <v>1600</v>
      </c>
      <c r="Q74" s="37">
        <f>IFERROR(__xludf.DUMMYFUNCTION("""COMPUTED_VALUE"""),900.0)</f>
        <v>900</v>
      </c>
      <c r="R74" s="37"/>
      <c r="S74" s="38">
        <f>IFERROR(__xludf.DUMMYFUNCTION("""COMPUTED_VALUE"""),45545.0)</f>
        <v>45545</v>
      </c>
      <c r="T74" s="35"/>
      <c r="U74" s="35"/>
      <c r="V74" s="35"/>
      <c r="W74" s="35"/>
      <c r="X74" s="35"/>
      <c r="Y74" s="35"/>
      <c r="Z74" s="35"/>
    </row>
    <row r="75" ht="15.75" customHeight="1">
      <c r="A75" s="35" t="str">
        <f>IFERROR(__xludf.DUMMYFUNCTION("""COMPUTED_VALUE"""),"JP")</f>
        <v>JP</v>
      </c>
      <c r="B75" s="35" t="str">
        <f>IFERROR(__xludf.DUMMYFUNCTION("""COMPUTED_VALUE"""),"マルス")</f>
        <v>マルス</v>
      </c>
      <c r="C75" s="35" t="str">
        <f>IFERROR(__xludf.DUMMYFUNCTION("""COMPUTED_VALUE"""),"マルス")</f>
        <v>マルス</v>
      </c>
      <c r="D75" s="35" t="str">
        <f>IFERROR(__xludf.DUMMYFUNCTION("""COMPUTED_VALUE"""),"駒ヶ岳")</f>
        <v>駒ヶ岳</v>
      </c>
      <c r="E75" s="35" t="str">
        <f>IFERROR(__xludf.DUMMYFUNCTION("""COMPUTED_VALUE"""),"シングルモルト")</f>
        <v>シングルモルト</v>
      </c>
      <c r="F75" s="35"/>
      <c r="G75" s="35" t="str">
        <f>IFERROR(__xludf.DUMMYFUNCTION("""COMPUTED_VALUE"""),"駒ヶ岳 IPAカスクフィニッシュ 2020")</f>
        <v>駒ヶ岳 IPAカスクフィニッシュ 2020</v>
      </c>
      <c r="H75" s="35"/>
      <c r="I75" s="35"/>
      <c r="J75" s="34"/>
      <c r="K75" s="34"/>
      <c r="L75" s="35"/>
      <c r="M75" s="35"/>
      <c r="N75" s="36"/>
      <c r="O75" s="35"/>
      <c r="P75" s="37">
        <f>IFERROR(__xludf.DUMMYFUNCTION("""COMPUTED_VALUE"""),2000.0)</f>
        <v>2000</v>
      </c>
      <c r="Q75" s="37">
        <f>IFERROR(__xludf.DUMMYFUNCTION("""COMPUTED_VALUE"""),1100.0)</f>
        <v>1100</v>
      </c>
      <c r="R75" s="37"/>
      <c r="S75" s="38"/>
      <c r="T75" s="35"/>
      <c r="U75" s="35"/>
      <c r="V75" s="35"/>
      <c r="W75" s="35"/>
      <c r="X75" s="35"/>
      <c r="Y75" s="35"/>
      <c r="Z75" s="35"/>
    </row>
    <row r="76" ht="15.75" customHeight="1">
      <c r="A76" s="35" t="str">
        <f>IFERROR(__xludf.DUMMYFUNCTION("""COMPUTED_VALUE"""),"JP")</f>
        <v>JP</v>
      </c>
      <c r="B76" s="35" t="str">
        <f>IFERROR(__xludf.DUMMYFUNCTION("""COMPUTED_VALUE"""),"マルス")</f>
        <v>マルス</v>
      </c>
      <c r="C76" s="35" t="str">
        <f>IFERROR(__xludf.DUMMYFUNCTION("""COMPUTED_VALUE"""),"マルス")</f>
        <v>マルス</v>
      </c>
      <c r="D76" s="35" t="str">
        <f>IFERROR(__xludf.DUMMYFUNCTION("""COMPUTED_VALUE"""),"駒ヶ岳")</f>
        <v>駒ヶ岳</v>
      </c>
      <c r="E76" s="35" t="str">
        <f>IFERROR(__xludf.DUMMYFUNCTION("""COMPUTED_VALUE"""),"シングルモルト")</f>
        <v>シングルモルト</v>
      </c>
      <c r="F76" s="35"/>
      <c r="G76" s="35" t="str">
        <f>IFERROR(__xludf.DUMMYFUNCTION("""COMPUTED_VALUE"""),"駒ヶ岳 アサギマダラの里 2020")</f>
        <v>駒ヶ岳 アサギマダラの里 2020</v>
      </c>
      <c r="H76" s="35"/>
      <c r="I76" s="35"/>
      <c r="J76" s="34"/>
      <c r="K76" s="34"/>
      <c r="L76" s="35"/>
      <c r="M76" s="35"/>
      <c r="N76" s="36"/>
      <c r="O76" s="35"/>
      <c r="P76" s="37">
        <f>IFERROR(__xludf.DUMMYFUNCTION("""COMPUTED_VALUE"""),2400.0)</f>
        <v>2400</v>
      </c>
      <c r="Q76" s="37">
        <f>IFERROR(__xludf.DUMMYFUNCTION("""COMPUTED_VALUE"""),1300.0)</f>
        <v>1300</v>
      </c>
      <c r="R76" s="37"/>
      <c r="S76" s="38"/>
      <c r="T76" s="35"/>
      <c r="U76" s="35"/>
      <c r="V76" s="35"/>
      <c r="W76" s="35"/>
      <c r="X76" s="35"/>
      <c r="Y76" s="35"/>
      <c r="Z76" s="35"/>
    </row>
    <row r="77" ht="15.75" customHeight="1">
      <c r="A77" s="35" t="str">
        <f>IFERROR(__xludf.DUMMYFUNCTION("""COMPUTED_VALUE"""),"JP")</f>
        <v>JP</v>
      </c>
      <c r="B77" s="35" t="str">
        <f>IFERROR(__xludf.DUMMYFUNCTION("""COMPUTED_VALUE"""),"マルス")</f>
        <v>マルス</v>
      </c>
      <c r="C77" s="35" t="str">
        <f>IFERROR(__xludf.DUMMYFUNCTION("""COMPUTED_VALUE"""),"マルス")</f>
        <v>マルス</v>
      </c>
      <c r="D77" s="35" t="str">
        <f>IFERROR(__xludf.DUMMYFUNCTION("""COMPUTED_VALUE"""),"駒ヶ岳")</f>
        <v>駒ヶ岳</v>
      </c>
      <c r="E77" s="35" t="str">
        <f>IFERROR(__xludf.DUMMYFUNCTION("""COMPUTED_VALUE"""),"シングルモルト")</f>
        <v>シングルモルト</v>
      </c>
      <c r="F77" s="35"/>
      <c r="G77" s="35" t="str">
        <f>IFERROR(__xludf.DUMMYFUNCTION("""COMPUTED_VALUE"""),"駒ヶ岳 アサギマダラの里 2021")</f>
        <v>駒ヶ岳 アサギマダラの里 2021</v>
      </c>
      <c r="H77" s="35"/>
      <c r="I77" s="35"/>
      <c r="J77" s="34"/>
      <c r="K77" s="34"/>
      <c r="L77" s="35"/>
      <c r="M77" s="35"/>
      <c r="N77" s="36"/>
      <c r="O77" s="35"/>
      <c r="P77" s="37">
        <f>IFERROR(__xludf.DUMMYFUNCTION("""COMPUTED_VALUE"""),2400.0)</f>
        <v>2400</v>
      </c>
      <c r="Q77" s="37">
        <f>IFERROR(__xludf.DUMMYFUNCTION("""COMPUTED_VALUE"""),1300.0)</f>
        <v>1300</v>
      </c>
      <c r="R77" s="37"/>
      <c r="S77" s="38">
        <f>IFERROR(__xludf.DUMMYFUNCTION("""COMPUTED_VALUE"""),44854.0)</f>
        <v>44854</v>
      </c>
      <c r="T77" s="35"/>
      <c r="U77" s="35"/>
      <c r="V77" s="35"/>
      <c r="W77" s="35"/>
      <c r="X77" s="35"/>
      <c r="Y77" s="35"/>
      <c r="Z77" s="35"/>
    </row>
    <row r="78" ht="15.75" customHeight="1">
      <c r="A78" s="35" t="str">
        <f>IFERROR(__xludf.DUMMYFUNCTION("""COMPUTED_VALUE"""),"JP")</f>
        <v>JP</v>
      </c>
      <c r="B78" s="35" t="str">
        <f>IFERROR(__xludf.DUMMYFUNCTION("""COMPUTED_VALUE"""),"マルス")</f>
        <v>マルス</v>
      </c>
      <c r="C78" s="35" t="str">
        <f>IFERROR(__xludf.DUMMYFUNCTION("""COMPUTED_VALUE"""),"マルス")</f>
        <v>マルス</v>
      </c>
      <c r="D78" s="35" t="str">
        <f>IFERROR(__xludf.DUMMYFUNCTION("""COMPUTED_VALUE"""),"駒ヶ岳")</f>
        <v>駒ヶ岳</v>
      </c>
      <c r="E78" s="35" t="str">
        <f>IFERROR(__xludf.DUMMYFUNCTION("""COMPUTED_VALUE"""),"シングルモルト")</f>
        <v>シングルモルト</v>
      </c>
      <c r="F78" s="35"/>
      <c r="G78" s="35" t="str">
        <f>IFERROR(__xludf.DUMMYFUNCTION("""COMPUTED_VALUE"""),"駒ヶ岳 クリスチャンドルーアンカスクフィニッシュ")</f>
        <v>駒ヶ岳 クリスチャンドルーアンカスクフィニッシュ</v>
      </c>
      <c r="H78" s="35"/>
      <c r="I78" s="35"/>
      <c r="J78" s="34"/>
      <c r="K78" s="34"/>
      <c r="L78" s="35"/>
      <c r="M78" s="35"/>
      <c r="N78" s="36"/>
      <c r="O78" s="35"/>
      <c r="P78" s="37">
        <f>IFERROR(__xludf.DUMMYFUNCTION("""COMPUTED_VALUE"""),2000.0)</f>
        <v>2000</v>
      </c>
      <c r="Q78" s="37">
        <f>IFERROR(__xludf.DUMMYFUNCTION("""COMPUTED_VALUE"""),1100.0)</f>
        <v>1100</v>
      </c>
      <c r="R78" s="37"/>
      <c r="S78" s="38">
        <f>IFERROR(__xludf.DUMMYFUNCTION("""COMPUTED_VALUE"""),44853.0)</f>
        <v>44853</v>
      </c>
      <c r="T78" s="35"/>
      <c r="U78" s="35"/>
      <c r="V78" s="35"/>
      <c r="W78" s="35"/>
      <c r="X78" s="35"/>
      <c r="Y78" s="35"/>
      <c r="Z78" s="35"/>
    </row>
    <row r="79" ht="15.75" customHeight="1">
      <c r="A79" s="35" t="str">
        <f>IFERROR(__xludf.DUMMYFUNCTION("""COMPUTED_VALUE"""),"JP")</f>
        <v>JP</v>
      </c>
      <c r="B79" s="35" t="str">
        <f>IFERROR(__xludf.DUMMYFUNCTION("""COMPUTED_VALUE"""),"マルス")</f>
        <v>マルス</v>
      </c>
      <c r="C79" s="35" t="str">
        <f>IFERROR(__xludf.DUMMYFUNCTION("""COMPUTED_VALUE"""),"マルス")</f>
        <v>マルス</v>
      </c>
      <c r="D79" s="35" t="str">
        <f>IFERROR(__xludf.DUMMYFUNCTION("""COMPUTED_VALUE"""),"駒ヶ岳")</f>
        <v>駒ヶ岳</v>
      </c>
      <c r="E79" s="35" t="str">
        <f>IFERROR(__xludf.DUMMYFUNCTION("""COMPUTED_VALUE"""),"シングルモルト")</f>
        <v>シングルモルト</v>
      </c>
      <c r="F79" s="35"/>
      <c r="G79" s="35" t="str">
        <f>IFERROR(__xludf.DUMMYFUNCTION("""COMPUTED_VALUE"""),"駒ヶ岳 シェリー&amp;アメリカンオーク 2011")</f>
        <v>駒ヶ岳 シェリー&amp;アメリカンオーク 2011</v>
      </c>
      <c r="H79" s="35"/>
      <c r="I79" s="35"/>
      <c r="J79" s="34"/>
      <c r="K79" s="34"/>
      <c r="L79" s="35"/>
      <c r="M79" s="35"/>
      <c r="N79" s="36"/>
      <c r="O79" s="35"/>
      <c r="P79" s="37">
        <f>IFERROR(__xludf.DUMMYFUNCTION("""COMPUTED_VALUE"""),2000.0)</f>
        <v>2000</v>
      </c>
      <c r="Q79" s="37">
        <f>IFERROR(__xludf.DUMMYFUNCTION("""COMPUTED_VALUE"""),1100.0)</f>
        <v>1100</v>
      </c>
      <c r="R79" s="37"/>
      <c r="S79" s="38">
        <f>IFERROR(__xludf.DUMMYFUNCTION("""COMPUTED_VALUE"""),45328.0)</f>
        <v>45328</v>
      </c>
      <c r="T79" s="35"/>
      <c r="U79" s="35"/>
      <c r="V79" s="35"/>
      <c r="W79" s="35"/>
      <c r="X79" s="35"/>
      <c r="Y79" s="35"/>
      <c r="Z79" s="35"/>
    </row>
    <row r="80" ht="15.75" customHeight="1">
      <c r="A80" s="35" t="str">
        <f>IFERROR(__xludf.DUMMYFUNCTION("""COMPUTED_VALUE"""),"JP")</f>
        <v>JP</v>
      </c>
      <c r="B80" s="35" t="str">
        <f>IFERROR(__xludf.DUMMYFUNCTION("""COMPUTED_VALUE"""),"マルス")</f>
        <v>マルス</v>
      </c>
      <c r="C80" s="35" t="str">
        <f>IFERROR(__xludf.DUMMYFUNCTION("""COMPUTED_VALUE"""),"マルス")</f>
        <v>マルス</v>
      </c>
      <c r="D80" s="35" t="str">
        <f>IFERROR(__xludf.DUMMYFUNCTION("""COMPUTED_VALUE"""),"駒ヶ岳")</f>
        <v>駒ヶ岳</v>
      </c>
      <c r="E80" s="35" t="str">
        <f>IFERROR(__xludf.DUMMYFUNCTION("""COMPUTED_VALUE"""),"シングルモルト")</f>
        <v>シングルモルト</v>
      </c>
      <c r="F80" s="35"/>
      <c r="G80" s="35" t="str">
        <f>IFERROR(__xludf.DUMMYFUNCTION("""COMPUTED_VALUE"""),"駒ヶ岳 シェリー&amp;アメリカンオーク 2011 ワインカスクフィニッシュ")</f>
        <v>駒ヶ岳 シェリー&amp;アメリカンオーク 2011 ワインカスクフィニッシュ</v>
      </c>
      <c r="H80" s="35"/>
      <c r="I80" s="35"/>
      <c r="J80" s="34"/>
      <c r="K80" s="34"/>
      <c r="L80" s="35"/>
      <c r="M80" s="35"/>
      <c r="N80" s="36"/>
      <c r="O80" s="35"/>
      <c r="P80" s="37">
        <f>IFERROR(__xludf.DUMMYFUNCTION("""COMPUTED_VALUE"""),2000.0)</f>
        <v>2000</v>
      </c>
      <c r="Q80" s="37">
        <f>IFERROR(__xludf.DUMMYFUNCTION("""COMPUTED_VALUE"""),1100.0)</f>
        <v>1100</v>
      </c>
      <c r="R80" s="37"/>
      <c r="S80" s="38"/>
      <c r="T80" s="35"/>
      <c r="U80" s="35"/>
      <c r="V80" s="35"/>
      <c r="W80" s="35"/>
      <c r="X80" s="35"/>
      <c r="Y80" s="35"/>
      <c r="Z80" s="35"/>
    </row>
    <row r="81" ht="15.75" customHeight="1">
      <c r="A81" s="35" t="str">
        <f>IFERROR(__xludf.DUMMYFUNCTION("""COMPUTED_VALUE"""),"JP")</f>
        <v>JP</v>
      </c>
      <c r="B81" s="35" t="str">
        <f>IFERROR(__xludf.DUMMYFUNCTION("""COMPUTED_VALUE"""),"マルス")</f>
        <v>マルス</v>
      </c>
      <c r="C81" s="35" t="str">
        <f>IFERROR(__xludf.DUMMYFUNCTION("""COMPUTED_VALUE"""),"マルス")</f>
        <v>マルス</v>
      </c>
      <c r="D81" s="35" t="str">
        <f>IFERROR(__xludf.DUMMYFUNCTION("""COMPUTED_VALUE"""),"駒ヶ岳")</f>
        <v>駒ヶ岳</v>
      </c>
      <c r="E81" s="35" t="str">
        <f>IFERROR(__xludf.DUMMYFUNCTION("""COMPUTED_VALUE"""),"シングルモルト")</f>
        <v>シングルモルト</v>
      </c>
      <c r="F81" s="35"/>
      <c r="G81" s="35" t="str">
        <f>IFERROR(__xludf.DUMMYFUNCTION("""COMPUTED_VALUE"""),"駒ヶ岳 ダブルセラーズ 2018")</f>
        <v>駒ヶ岳 ダブルセラーズ 2018</v>
      </c>
      <c r="H81" s="35"/>
      <c r="I81" s="35"/>
      <c r="J81" s="34"/>
      <c r="K81" s="34"/>
      <c r="L81" s="35"/>
      <c r="M81" s="35"/>
      <c r="N81" s="36"/>
      <c r="O81" s="35"/>
      <c r="P81" s="37">
        <f>IFERROR(__xludf.DUMMYFUNCTION("""COMPUTED_VALUE"""),2000.0)</f>
        <v>2000</v>
      </c>
      <c r="Q81" s="37">
        <f>IFERROR(__xludf.DUMMYFUNCTION("""COMPUTED_VALUE"""),1100.0)</f>
        <v>1100</v>
      </c>
      <c r="R81" s="37"/>
      <c r="S81" s="38">
        <f>IFERROR(__xludf.DUMMYFUNCTION("""COMPUTED_VALUE"""),45703.0)</f>
        <v>45703</v>
      </c>
      <c r="T81" s="35"/>
      <c r="U81" s="35"/>
      <c r="V81" s="35"/>
      <c r="W81" s="35"/>
      <c r="X81" s="35"/>
      <c r="Y81" s="35"/>
      <c r="Z81" s="35"/>
    </row>
    <row r="82" ht="15.75" customHeight="1">
      <c r="A82" s="35" t="str">
        <f>IFERROR(__xludf.DUMMYFUNCTION("""COMPUTED_VALUE"""),"JP")</f>
        <v>JP</v>
      </c>
      <c r="B82" s="35" t="str">
        <f>IFERROR(__xludf.DUMMYFUNCTION("""COMPUTED_VALUE"""),"マルス")</f>
        <v>マルス</v>
      </c>
      <c r="C82" s="35" t="str">
        <f>IFERROR(__xludf.DUMMYFUNCTION("""COMPUTED_VALUE"""),"マルス")</f>
        <v>マルス</v>
      </c>
      <c r="D82" s="35" t="str">
        <f>IFERROR(__xludf.DUMMYFUNCTION("""COMPUTED_VALUE"""),"駒ヶ岳")</f>
        <v>駒ヶ岳</v>
      </c>
      <c r="E82" s="35" t="str">
        <f>IFERROR(__xludf.DUMMYFUNCTION("""COMPUTED_VALUE"""),"シングルモルト")</f>
        <v>シングルモルト</v>
      </c>
      <c r="F82" s="35"/>
      <c r="G82" s="35" t="str">
        <f>IFERROR(__xludf.DUMMYFUNCTION("""COMPUTED_VALUE"""),"駒ヶ岳 ダブルセラーズ 2019")</f>
        <v>駒ヶ岳 ダブルセラーズ 2019</v>
      </c>
      <c r="H82" s="35"/>
      <c r="I82" s="35"/>
      <c r="J82" s="34"/>
      <c r="K82" s="34"/>
      <c r="L82" s="35"/>
      <c r="M82" s="35"/>
      <c r="N82" s="36"/>
      <c r="O82" s="35"/>
      <c r="P82" s="37">
        <f>IFERROR(__xludf.DUMMYFUNCTION("""COMPUTED_VALUE"""),2000.0)</f>
        <v>2000</v>
      </c>
      <c r="Q82" s="37">
        <f>IFERROR(__xludf.DUMMYFUNCTION("""COMPUTED_VALUE"""),1100.0)</f>
        <v>1100</v>
      </c>
      <c r="R82" s="37"/>
      <c r="S82" s="38">
        <f>IFERROR(__xludf.DUMMYFUNCTION("""COMPUTED_VALUE"""),45704.0)</f>
        <v>45704</v>
      </c>
      <c r="T82" s="35"/>
      <c r="U82" s="35"/>
      <c r="V82" s="35"/>
      <c r="W82" s="35"/>
      <c r="X82" s="35"/>
      <c r="Y82" s="35"/>
      <c r="Z82" s="35"/>
    </row>
    <row r="83" ht="15.75" customHeight="1">
      <c r="A83" s="35" t="str">
        <f>IFERROR(__xludf.DUMMYFUNCTION("""COMPUTED_VALUE"""),"JP")</f>
        <v>JP</v>
      </c>
      <c r="B83" s="35" t="str">
        <f>IFERROR(__xludf.DUMMYFUNCTION("""COMPUTED_VALUE"""),"マルス")</f>
        <v>マルス</v>
      </c>
      <c r="C83" s="35" t="str">
        <f>IFERROR(__xludf.DUMMYFUNCTION("""COMPUTED_VALUE"""),"マルス")</f>
        <v>マルス</v>
      </c>
      <c r="D83" s="35" t="str">
        <f>IFERROR(__xludf.DUMMYFUNCTION("""COMPUTED_VALUE"""),"駒ヶ岳")</f>
        <v>駒ヶ岳</v>
      </c>
      <c r="E83" s="35" t="str">
        <f>IFERROR(__xludf.DUMMYFUNCTION("""COMPUTED_VALUE"""),"シングルモルト")</f>
        <v>シングルモルト</v>
      </c>
      <c r="F83" s="35"/>
      <c r="G83" s="35" t="str">
        <f>IFERROR(__xludf.DUMMYFUNCTION("""COMPUTED_VALUE"""),"駒ヶ岳 屋久島エイジング 2014")</f>
        <v>駒ヶ岳 屋久島エイジング 2014</v>
      </c>
      <c r="H83" s="35"/>
      <c r="I83" s="35"/>
      <c r="J83" s="34"/>
      <c r="K83" s="34"/>
      <c r="L83" s="35"/>
      <c r="M83" s="35"/>
      <c r="N83" s="36"/>
      <c r="O83" s="35"/>
      <c r="P83" s="37">
        <f>IFERROR(__xludf.DUMMYFUNCTION("""COMPUTED_VALUE"""),2000.0)</f>
        <v>2000</v>
      </c>
      <c r="Q83" s="37">
        <f>IFERROR(__xludf.DUMMYFUNCTION("""COMPUTED_VALUE"""),1100.0)</f>
        <v>1100</v>
      </c>
      <c r="R83" s="37"/>
      <c r="S83" s="38"/>
      <c r="T83" s="35"/>
      <c r="U83" s="35"/>
      <c r="V83" s="35"/>
      <c r="W83" s="35"/>
      <c r="X83" s="35"/>
      <c r="Y83" s="35"/>
      <c r="Z83" s="35"/>
    </row>
    <row r="84" ht="15.75" customHeight="1">
      <c r="A84" s="35" t="str">
        <f>IFERROR(__xludf.DUMMYFUNCTION("""COMPUTED_VALUE"""),"JP")</f>
        <v>JP</v>
      </c>
      <c r="B84" s="35" t="str">
        <f>IFERROR(__xludf.DUMMYFUNCTION("""COMPUTED_VALUE"""),"マルス")</f>
        <v>マルス</v>
      </c>
      <c r="C84" s="35" t="str">
        <f>IFERROR(__xludf.DUMMYFUNCTION("""COMPUTED_VALUE"""),"マルス")</f>
        <v>マルス</v>
      </c>
      <c r="D84" s="35" t="str">
        <f>IFERROR(__xludf.DUMMYFUNCTION("""COMPUTED_VALUE"""),"駒ヶ岳")</f>
        <v>駒ヶ岳</v>
      </c>
      <c r="E84" s="35" t="str">
        <f>IFERROR(__xludf.DUMMYFUNCTION("""COMPUTED_VALUE"""),"シングルモルト")</f>
        <v>シングルモルト</v>
      </c>
      <c r="F84" s="35"/>
      <c r="G84" s="35" t="str">
        <f>IFERROR(__xludf.DUMMYFUNCTION("""COMPUTED_VALUE"""),"駒ヶ岳 小彼岸桜")</f>
        <v>駒ヶ岳 小彼岸桜</v>
      </c>
      <c r="H84" s="35" t="str">
        <f>IFERROR(__xludf.DUMMYFUNCTION("""COMPUTED_VALUE"""),"ネイチャーオブ信州シリーズ")</f>
        <v>ネイチャーオブ信州シリーズ</v>
      </c>
      <c r="I84" s="35"/>
      <c r="J84" s="34"/>
      <c r="K84" s="34"/>
      <c r="L84" s="35"/>
      <c r="M84" s="35"/>
      <c r="N84" s="36"/>
      <c r="O84" s="35"/>
      <c r="P84" s="37">
        <f>IFERROR(__xludf.DUMMYFUNCTION("""COMPUTED_VALUE"""),2600.0)</f>
        <v>2600</v>
      </c>
      <c r="Q84" s="37">
        <f>IFERROR(__xludf.DUMMYFUNCTION("""COMPUTED_VALUE"""),1400.0)</f>
        <v>1400</v>
      </c>
      <c r="R84" s="37"/>
      <c r="S84" s="38">
        <f>IFERROR(__xludf.DUMMYFUNCTION("""COMPUTED_VALUE"""),45325.0)</f>
        <v>45325</v>
      </c>
      <c r="T84" s="35"/>
      <c r="U84" s="35"/>
      <c r="V84" s="35"/>
      <c r="W84" s="35"/>
      <c r="X84" s="35"/>
      <c r="Y84" s="35"/>
      <c r="Z84" s="35"/>
    </row>
    <row r="85" ht="15.75" customHeight="1">
      <c r="A85" s="35" t="str">
        <f>IFERROR(__xludf.DUMMYFUNCTION("""COMPUTED_VALUE"""),"JP")</f>
        <v>JP</v>
      </c>
      <c r="B85" s="35" t="str">
        <f>IFERROR(__xludf.DUMMYFUNCTION("""COMPUTED_VALUE"""),"マルス")</f>
        <v>マルス</v>
      </c>
      <c r="C85" s="35" t="str">
        <f>IFERROR(__xludf.DUMMYFUNCTION("""COMPUTED_VALUE"""),"マルス")</f>
        <v>マルス</v>
      </c>
      <c r="D85" s="35" t="str">
        <f>IFERROR(__xludf.DUMMYFUNCTION("""COMPUTED_VALUE"""),"駒ヶ岳")</f>
        <v>駒ヶ岳</v>
      </c>
      <c r="E85" s="35" t="str">
        <f>IFERROR(__xludf.DUMMYFUNCTION("""COMPUTED_VALUE"""),"シングルモルト")</f>
        <v>シングルモルト</v>
      </c>
      <c r="F85" s="35"/>
      <c r="G85" s="35" t="str">
        <f>IFERROR(__xludf.DUMMYFUNCTION("""COMPUTED_VALUE"""),"駒ヶ岳 信濃蒲公英")</f>
        <v>駒ヶ岳 信濃蒲公英</v>
      </c>
      <c r="H85" s="35" t="str">
        <f>IFERROR(__xludf.DUMMYFUNCTION("""COMPUTED_VALUE"""),"ネイチャーオブ信州シリーズ")</f>
        <v>ネイチャーオブ信州シリーズ</v>
      </c>
      <c r="I85" s="35"/>
      <c r="J85" s="34"/>
      <c r="K85" s="34"/>
      <c r="L85" s="35"/>
      <c r="M85" s="35"/>
      <c r="N85" s="36"/>
      <c r="O85" s="35"/>
      <c r="P85" s="37">
        <f>IFERROR(__xludf.DUMMYFUNCTION("""COMPUTED_VALUE"""),2600.0)</f>
        <v>2600</v>
      </c>
      <c r="Q85" s="37">
        <f>IFERROR(__xludf.DUMMYFUNCTION("""COMPUTED_VALUE"""),1400.0)</f>
        <v>1400</v>
      </c>
      <c r="R85" s="37"/>
      <c r="S85" s="38">
        <f>IFERROR(__xludf.DUMMYFUNCTION("""COMPUTED_VALUE"""),45327.0)</f>
        <v>45327</v>
      </c>
      <c r="T85" s="35"/>
      <c r="U85" s="35"/>
      <c r="V85" s="35"/>
      <c r="W85" s="35"/>
      <c r="X85" s="35"/>
      <c r="Y85" s="35"/>
      <c r="Z85" s="35"/>
    </row>
    <row r="86" ht="15.75" customHeight="1">
      <c r="A86" s="35" t="str">
        <f>IFERROR(__xludf.DUMMYFUNCTION("""COMPUTED_VALUE"""),"JP")</f>
        <v>JP</v>
      </c>
      <c r="B86" s="35" t="str">
        <f>IFERROR(__xludf.DUMMYFUNCTION("""COMPUTED_VALUE"""),"マルス")</f>
        <v>マルス</v>
      </c>
      <c r="C86" s="35" t="str">
        <f>IFERROR(__xludf.DUMMYFUNCTION("""COMPUTED_VALUE"""),"マルス")</f>
        <v>マルス</v>
      </c>
      <c r="D86" s="35" t="str">
        <f>IFERROR(__xludf.DUMMYFUNCTION("""COMPUTED_VALUE"""),"駒ヶ岳")</f>
        <v>駒ヶ岳</v>
      </c>
      <c r="E86" s="35" t="str">
        <f>IFERROR(__xludf.DUMMYFUNCTION("""COMPUTED_VALUE"""),"シングルモルト")</f>
        <v>シングルモルト</v>
      </c>
      <c r="F86" s="35"/>
      <c r="G86" s="35" t="str">
        <f>IFERROR(__xludf.DUMMYFUNCTION("""COMPUTED_VALUE"""),"駒ヶ岳 竜胆")</f>
        <v>駒ヶ岳 竜胆</v>
      </c>
      <c r="H86" s="35" t="str">
        <f>IFERROR(__xludf.DUMMYFUNCTION("""COMPUTED_VALUE"""),"ネイチャーオブ信州シリーズ")</f>
        <v>ネイチャーオブ信州シリーズ</v>
      </c>
      <c r="I86" s="35"/>
      <c r="J86" s="34"/>
      <c r="K86" s="34"/>
      <c r="L86" s="35"/>
      <c r="M86" s="35"/>
      <c r="N86" s="36"/>
      <c r="O86" s="35"/>
      <c r="P86" s="37">
        <f>IFERROR(__xludf.DUMMYFUNCTION("""COMPUTED_VALUE"""),2600.0)</f>
        <v>2600</v>
      </c>
      <c r="Q86" s="37">
        <f>IFERROR(__xludf.DUMMYFUNCTION("""COMPUTED_VALUE"""),1400.0)</f>
        <v>1400</v>
      </c>
      <c r="R86" s="37"/>
      <c r="S86" s="38">
        <f>IFERROR(__xludf.DUMMYFUNCTION("""COMPUTED_VALUE"""),45324.0)</f>
        <v>45324</v>
      </c>
      <c r="T86" s="35"/>
      <c r="U86" s="35"/>
      <c r="V86" s="35"/>
      <c r="W86" s="35"/>
      <c r="X86" s="35"/>
      <c r="Y86" s="35"/>
      <c r="Z86" s="35"/>
    </row>
    <row r="87" ht="15.75" customHeight="1">
      <c r="A87" s="35" t="str">
        <f>IFERROR(__xludf.DUMMYFUNCTION("""COMPUTED_VALUE"""),"JP")</f>
        <v>JP</v>
      </c>
      <c r="B87" s="35" t="str">
        <f>IFERROR(__xludf.DUMMYFUNCTION("""COMPUTED_VALUE"""),"マルス")</f>
        <v>マルス</v>
      </c>
      <c r="C87" s="35" t="str">
        <f>IFERROR(__xludf.DUMMYFUNCTION("""COMPUTED_VALUE"""),"マルス")</f>
        <v>マルス</v>
      </c>
      <c r="D87" s="35" t="str">
        <f>IFERROR(__xludf.DUMMYFUNCTION("""COMPUTED_VALUE"""),"駒ヶ岳")</f>
        <v>駒ヶ岳</v>
      </c>
      <c r="E87" s="35" t="str">
        <f>IFERROR(__xludf.DUMMYFUNCTION("""COMPUTED_VALUE"""),"シングルモルト")</f>
        <v>シングルモルト</v>
      </c>
      <c r="F87" s="35"/>
      <c r="G87" s="35" t="str">
        <f>IFERROR(__xludf.DUMMYFUNCTION("""COMPUTED_VALUE"""),"駒ヶ岳 27年")</f>
        <v>駒ヶ岳 27年</v>
      </c>
      <c r="H87" s="35"/>
      <c r="I87" s="35"/>
      <c r="J87" s="34"/>
      <c r="K87" s="34"/>
      <c r="L87" s="35"/>
      <c r="M87" s="35"/>
      <c r="N87" s="36"/>
      <c r="O87" s="35"/>
      <c r="P87" s="37"/>
      <c r="Q87" s="37"/>
      <c r="R87" s="37">
        <f>IFERROR(__xludf.DUMMYFUNCTION("""COMPUTED_VALUE"""),4000.0)</f>
        <v>4000</v>
      </c>
      <c r="S87" s="38">
        <f>IFERROR(__xludf.DUMMYFUNCTION("""COMPUTED_VALUE"""),45686.0)</f>
        <v>45686</v>
      </c>
      <c r="T87" s="35"/>
      <c r="U87" s="35"/>
      <c r="V87" s="35"/>
      <c r="W87" s="35"/>
      <c r="X87" s="35"/>
      <c r="Y87" s="35"/>
      <c r="Z87" s="35"/>
    </row>
    <row r="88" ht="15.75" customHeight="1">
      <c r="A88" s="35" t="str">
        <f>IFERROR(__xludf.DUMMYFUNCTION("""COMPUTED_VALUE"""),"JP")</f>
        <v>JP</v>
      </c>
      <c r="B88" s="35" t="str">
        <f>IFERROR(__xludf.DUMMYFUNCTION("""COMPUTED_VALUE"""),"マルス")</f>
        <v>マルス</v>
      </c>
      <c r="C88" s="35" t="str">
        <f>IFERROR(__xludf.DUMMYFUNCTION("""COMPUTED_VALUE"""),"マルス")</f>
        <v>マルス</v>
      </c>
      <c r="D88" s="35" t="str">
        <f>IFERROR(__xludf.DUMMYFUNCTION("""COMPUTED_VALUE"""),"駒ヶ岳")</f>
        <v>駒ヶ岳</v>
      </c>
      <c r="E88" s="35" t="str">
        <f>IFERROR(__xludf.DUMMYFUNCTION("""COMPUTED_VALUE"""),"シングルモルト")</f>
        <v>シングルモルト</v>
      </c>
      <c r="F88" s="35"/>
      <c r="G88" s="35" t="str">
        <f>IFERROR(__xludf.DUMMYFUNCTION("""COMPUTED_VALUE"""),"駒ヶ岳 30年 アメリカンホワイトオーク")</f>
        <v>駒ヶ岳 30年 アメリカンホワイトオーク</v>
      </c>
      <c r="H88" s="35"/>
      <c r="I88" s="35"/>
      <c r="J88" s="34"/>
      <c r="K88" s="34"/>
      <c r="L88" s="35"/>
      <c r="M88" s="35"/>
      <c r="N88" s="36"/>
      <c r="O88" s="35"/>
      <c r="P88" s="37"/>
      <c r="Q88" s="37"/>
      <c r="R88" s="37">
        <f>IFERROR(__xludf.DUMMYFUNCTION("""COMPUTED_VALUE"""),7000.0)</f>
        <v>7000</v>
      </c>
      <c r="S88" s="38">
        <f>IFERROR(__xludf.DUMMYFUNCTION("""COMPUTED_VALUE"""),45005.0)</f>
        <v>45005</v>
      </c>
      <c r="T88" s="35"/>
      <c r="U88" s="35"/>
      <c r="V88" s="35"/>
      <c r="W88" s="35"/>
      <c r="X88" s="35"/>
      <c r="Y88" s="35"/>
      <c r="Z88" s="35"/>
    </row>
    <row r="89" ht="15.75" customHeight="1">
      <c r="A89" s="35" t="str">
        <f>IFERROR(__xludf.DUMMYFUNCTION("""COMPUTED_VALUE"""),"JP")</f>
        <v>JP</v>
      </c>
      <c r="B89" s="35" t="str">
        <f>IFERROR(__xludf.DUMMYFUNCTION("""COMPUTED_VALUE"""),"マルス")</f>
        <v>マルス</v>
      </c>
      <c r="C89" s="35" t="str">
        <f>IFERROR(__xludf.DUMMYFUNCTION("""COMPUTED_VALUE"""),"マルス")</f>
        <v>マルス</v>
      </c>
      <c r="D89" s="35" t="str">
        <f>IFERROR(__xludf.DUMMYFUNCTION("""COMPUTED_VALUE"""),"駒ヶ岳")</f>
        <v>駒ヶ岳</v>
      </c>
      <c r="E89" s="35" t="str">
        <f>IFERROR(__xludf.DUMMYFUNCTION("""COMPUTED_VALUE"""),"シングルモルト")</f>
        <v>シングルモルト</v>
      </c>
      <c r="F89" s="35"/>
      <c r="G89" s="35" t="str">
        <f>IFERROR(__xludf.DUMMYFUNCTION("""COMPUTED_VALUE"""),"駒ヶ岳 30年 シェリーカスク")</f>
        <v>駒ヶ岳 30年 シェリーカスク</v>
      </c>
      <c r="H89" s="35"/>
      <c r="I89" s="35"/>
      <c r="J89" s="34"/>
      <c r="K89" s="34"/>
      <c r="L89" s="35"/>
      <c r="M89" s="35"/>
      <c r="N89" s="36"/>
      <c r="O89" s="35"/>
      <c r="P89" s="37"/>
      <c r="Q89" s="37"/>
      <c r="R89" s="37">
        <f>IFERROR(__xludf.DUMMYFUNCTION("""COMPUTED_VALUE"""),7000.0)</f>
        <v>7000</v>
      </c>
      <c r="S89" s="38">
        <f>IFERROR(__xludf.DUMMYFUNCTION("""COMPUTED_VALUE"""),45006.0)</f>
        <v>45006</v>
      </c>
      <c r="T89" s="35"/>
      <c r="U89" s="35"/>
      <c r="V89" s="35"/>
      <c r="W89" s="35"/>
      <c r="X89" s="35"/>
      <c r="Y89" s="35"/>
      <c r="Z89" s="35"/>
    </row>
    <row r="90" ht="15.75" customHeight="1">
      <c r="A90" s="35" t="str">
        <f>IFERROR(__xludf.DUMMYFUNCTION("""COMPUTED_VALUE"""),"JP")</f>
        <v>JP</v>
      </c>
      <c r="B90" s="35" t="str">
        <f>IFERROR(__xludf.DUMMYFUNCTION("""COMPUTED_VALUE"""),"マルス")</f>
        <v>マルス</v>
      </c>
      <c r="C90" s="35" t="str">
        <f>IFERROR(__xludf.DUMMYFUNCTION("""COMPUTED_VALUE"""),"マルス")</f>
        <v>マルス</v>
      </c>
      <c r="D90" s="35" t="str">
        <f>IFERROR(__xludf.DUMMYFUNCTION("""COMPUTED_VALUE"""),"津貫")</f>
        <v>津貫</v>
      </c>
      <c r="E90" s="35" t="str">
        <f>IFERROR(__xludf.DUMMYFUNCTION("""COMPUTED_VALUE"""),"シングルモルト")</f>
        <v>シングルモルト</v>
      </c>
      <c r="F90" s="35"/>
      <c r="G90" s="35" t="str">
        <f>IFERROR(__xludf.DUMMYFUNCTION("""COMPUTED_VALUE"""),"津貫 2022エディション")</f>
        <v>津貫 2022エディション</v>
      </c>
      <c r="H90" s="35"/>
      <c r="I90" s="35"/>
      <c r="J90" s="34"/>
      <c r="K90" s="34"/>
      <c r="L90" s="35"/>
      <c r="M90" s="35"/>
      <c r="N90" s="36"/>
      <c r="O90" s="35"/>
      <c r="P90" s="37">
        <f>IFERROR(__xludf.DUMMYFUNCTION("""COMPUTED_VALUE"""),1600.0)</f>
        <v>1600</v>
      </c>
      <c r="Q90" s="37">
        <f>IFERROR(__xludf.DUMMYFUNCTION("""COMPUTED_VALUE"""),900.0)</f>
        <v>900</v>
      </c>
      <c r="R90" s="37"/>
      <c r="S90" s="38">
        <f>IFERROR(__xludf.DUMMYFUNCTION("""COMPUTED_VALUE"""),45773.0)</f>
        <v>45773</v>
      </c>
      <c r="T90" s="35"/>
      <c r="U90" s="35"/>
      <c r="V90" s="35"/>
      <c r="W90" s="35"/>
      <c r="X90" s="35"/>
      <c r="Y90" s="35"/>
      <c r="Z90" s="35"/>
    </row>
    <row r="91" ht="15.75" customHeight="1">
      <c r="A91" s="35" t="str">
        <f>IFERROR(__xludf.DUMMYFUNCTION("""COMPUTED_VALUE"""),"JP")</f>
        <v>JP</v>
      </c>
      <c r="B91" s="35" t="str">
        <f>IFERROR(__xludf.DUMMYFUNCTION("""COMPUTED_VALUE"""),"マルス")</f>
        <v>マルス</v>
      </c>
      <c r="C91" s="35" t="str">
        <f>IFERROR(__xludf.DUMMYFUNCTION("""COMPUTED_VALUE"""),"マルス")</f>
        <v>マルス</v>
      </c>
      <c r="D91" s="35" t="str">
        <f>IFERROR(__xludf.DUMMYFUNCTION("""COMPUTED_VALUE"""),"津貫")</f>
        <v>津貫</v>
      </c>
      <c r="E91" s="35" t="str">
        <f>IFERROR(__xludf.DUMMYFUNCTION("""COMPUTED_VALUE"""),"シングルモルト")</f>
        <v>シングルモルト</v>
      </c>
      <c r="F91" s="35"/>
      <c r="G91" s="35" t="str">
        <f>IFERROR(__xludf.DUMMYFUNCTION("""COMPUTED_VALUE"""),"津貫 2023エディション")</f>
        <v>津貫 2023エディション</v>
      </c>
      <c r="H91" s="35"/>
      <c r="I91" s="35"/>
      <c r="J91" s="34"/>
      <c r="K91" s="34"/>
      <c r="L91" s="35" t="str">
        <f>IFERROR(__xludf.DUMMYFUNCTION("""COMPUTED_VALUE"""),"✓")</f>
        <v>✓</v>
      </c>
      <c r="M91" s="35"/>
      <c r="N91" s="36"/>
      <c r="O91" s="35"/>
      <c r="P91" s="37">
        <f>IFERROR(__xludf.DUMMYFUNCTION("""COMPUTED_VALUE"""),1400.0)</f>
        <v>1400</v>
      </c>
      <c r="Q91" s="37">
        <f>IFERROR(__xludf.DUMMYFUNCTION("""COMPUTED_VALUE"""),800.0)</f>
        <v>800</v>
      </c>
      <c r="R91" s="37"/>
      <c r="S91" s="38">
        <f>IFERROR(__xludf.DUMMYFUNCTION("""COMPUTED_VALUE"""),45774.0)</f>
        <v>45774</v>
      </c>
      <c r="T91" s="35"/>
      <c r="U91" s="35"/>
      <c r="V91" s="35"/>
      <c r="W91" s="35"/>
      <c r="X91" s="35"/>
      <c r="Y91" s="35"/>
      <c r="Z91" s="35"/>
    </row>
    <row r="92" ht="15.75" customHeight="1">
      <c r="A92" s="35" t="str">
        <f>IFERROR(__xludf.DUMMYFUNCTION("""COMPUTED_VALUE"""),"JP")</f>
        <v>JP</v>
      </c>
      <c r="B92" s="35" t="str">
        <f>IFERROR(__xludf.DUMMYFUNCTION("""COMPUTED_VALUE"""),"マルス")</f>
        <v>マルス</v>
      </c>
      <c r="C92" s="35" t="str">
        <f>IFERROR(__xludf.DUMMYFUNCTION("""COMPUTED_VALUE"""),"マルス")</f>
        <v>マルス</v>
      </c>
      <c r="D92" s="35" t="str">
        <f>IFERROR(__xludf.DUMMYFUNCTION("""COMPUTED_VALUE"""),"津貫")</f>
        <v>津貫</v>
      </c>
      <c r="E92" s="35" t="str">
        <f>IFERROR(__xludf.DUMMYFUNCTION("""COMPUTED_VALUE"""),"シングルモルト")</f>
        <v>シングルモルト</v>
      </c>
      <c r="F92" s="35"/>
      <c r="G92" s="35" t="str">
        <f>IFERROR(__xludf.DUMMYFUNCTION("""COMPUTED_VALUE"""),"津貫 ファースト")</f>
        <v>津貫 ファースト</v>
      </c>
      <c r="H92" s="35"/>
      <c r="I92" s="35"/>
      <c r="J92" s="34"/>
      <c r="K92" s="34"/>
      <c r="L92" s="35"/>
      <c r="M92" s="35"/>
      <c r="N92" s="36"/>
      <c r="O92" s="35"/>
      <c r="P92" s="37">
        <f>IFERROR(__xludf.DUMMYFUNCTION("""COMPUTED_VALUE"""),2000.0)</f>
        <v>2000</v>
      </c>
      <c r="Q92" s="37">
        <f>IFERROR(__xludf.DUMMYFUNCTION("""COMPUTED_VALUE"""),1100.0)</f>
        <v>1100</v>
      </c>
      <c r="R92" s="37"/>
      <c r="S92" s="38"/>
      <c r="T92" s="35"/>
      <c r="U92" s="35"/>
      <c r="V92" s="35"/>
      <c r="W92" s="35"/>
      <c r="X92" s="35"/>
      <c r="Y92" s="35"/>
      <c r="Z92" s="35"/>
    </row>
    <row r="93" ht="15.75" customHeight="1">
      <c r="A93" s="35" t="str">
        <f>IFERROR(__xludf.DUMMYFUNCTION("""COMPUTED_VALUE"""),"JP")</f>
        <v>JP</v>
      </c>
      <c r="B93" s="35" t="str">
        <f>IFERROR(__xludf.DUMMYFUNCTION("""COMPUTED_VALUE"""),"マルス")</f>
        <v>マルス</v>
      </c>
      <c r="C93" s="35" t="str">
        <f>IFERROR(__xludf.DUMMYFUNCTION("""COMPUTED_VALUE"""),"マルス")</f>
        <v>マルス</v>
      </c>
      <c r="D93" s="35" t="str">
        <f>IFERROR(__xludf.DUMMYFUNCTION("""COMPUTED_VALUE"""),"津貫")</f>
        <v>津貫</v>
      </c>
      <c r="E93" s="35" t="str">
        <f>IFERROR(__xludf.DUMMYFUNCTION("""COMPUTED_VALUE"""),"シングルモルト")</f>
        <v>シングルモルト</v>
      </c>
      <c r="F93" s="35"/>
      <c r="G93" s="35" t="str">
        <f>IFERROR(__xludf.DUMMYFUNCTION("""COMPUTED_VALUE"""),"津貫 ピーテッド")</f>
        <v>津貫 ピーテッド</v>
      </c>
      <c r="H93" s="35"/>
      <c r="I93" s="35"/>
      <c r="J93" s="34"/>
      <c r="K93" s="34"/>
      <c r="L93" s="35"/>
      <c r="M93" s="35"/>
      <c r="N93" s="36"/>
      <c r="O93" s="35"/>
      <c r="P93" s="37">
        <f>IFERROR(__xludf.DUMMYFUNCTION("""COMPUTED_VALUE"""),2000.0)</f>
        <v>2000</v>
      </c>
      <c r="Q93" s="37">
        <f>IFERROR(__xludf.DUMMYFUNCTION("""COMPUTED_VALUE"""),1100.0)</f>
        <v>1100</v>
      </c>
      <c r="R93" s="37"/>
      <c r="S93" s="38">
        <f>IFERROR(__xludf.DUMMYFUNCTION("""COMPUTED_VALUE"""),45275.0)</f>
        <v>45275</v>
      </c>
      <c r="T93" s="35"/>
      <c r="U93" s="35"/>
      <c r="V93" s="35"/>
      <c r="W93" s="35"/>
      <c r="X93" s="35"/>
      <c r="Y93" s="35"/>
      <c r="Z93" s="35"/>
    </row>
    <row r="94" ht="15.75" customHeight="1">
      <c r="A94" s="35" t="str">
        <f>IFERROR(__xludf.DUMMYFUNCTION("""COMPUTED_VALUE"""),"JP")</f>
        <v>JP</v>
      </c>
      <c r="B94" s="35" t="str">
        <f>IFERROR(__xludf.DUMMYFUNCTION("""COMPUTED_VALUE"""),"ガイアフロー")</f>
        <v>ガイアフロー</v>
      </c>
      <c r="C94" s="35" t="str">
        <f>IFERROR(__xludf.DUMMYFUNCTION("""COMPUTED_VALUE"""),"ガイアフロー")</f>
        <v>ガイアフロー</v>
      </c>
      <c r="D94" s="35" t="str">
        <f>IFERROR(__xludf.DUMMYFUNCTION("""COMPUTED_VALUE"""),"静岡")</f>
        <v>静岡</v>
      </c>
      <c r="E94" s="35" t="str">
        <f>IFERROR(__xludf.DUMMYFUNCTION("""COMPUTED_VALUE"""),"シングルモルト")</f>
        <v>シングルモルト</v>
      </c>
      <c r="F94" s="35"/>
      <c r="G94" s="35" t="str">
        <f>IFERROR(__xludf.DUMMYFUNCTION("""COMPUTED_VALUE"""),"静岡 ユナイテッドS 初版")</f>
        <v>静岡 ユナイテッドS 初版</v>
      </c>
      <c r="H94" s="35"/>
      <c r="I94" s="35"/>
      <c r="J94" s="34"/>
      <c r="K94" s="34"/>
      <c r="L94" s="35"/>
      <c r="M94" s="35"/>
      <c r="N94" s="36"/>
      <c r="O94" s="35"/>
      <c r="P94" s="37">
        <f>IFERROR(__xludf.DUMMYFUNCTION("""COMPUTED_VALUE"""),2400.0)</f>
        <v>2400</v>
      </c>
      <c r="Q94" s="37">
        <f>IFERROR(__xludf.DUMMYFUNCTION("""COMPUTED_VALUE"""),1300.0)</f>
        <v>1300</v>
      </c>
      <c r="R94" s="37"/>
      <c r="S94" s="38">
        <f>IFERROR(__xludf.DUMMYFUNCTION("""COMPUTED_VALUE"""),44917.0)</f>
        <v>44917</v>
      </c>
      <c r="T94" s="35"/>
      <c r="U94" s="35"/>
      <c r="V94" s="35"/>
      <c r="W94" s="35"/>
      <c r="X94" s="35"/>
      <c r="Y94" s="35"/>
      <c r="Z94" s="35"/>
    </row>
    <row r="95" ht="15.75" customHeight="1">
      <c r="A95" s="35" t="str">
        <f>IFERROR(__xludf.DUMMYFUNCTION("""COMPUTED_VALUE"""),"JP")</f>
        <v>JP</v>
      </c>
      <c r="B95" s="35" t="str">
        <f>IFERROR(__xludf.DUMMYFUNCTION("""COMPUTED_VALUE"""),"ガイアフロー")</f>
        <v>ガイアフロー</v>
      </c>
      <c r="C95" s="35" t="str">
        <f>IFERROR(__xludf.DUMMYFUNCTION("""COMPUTED_VALUE"""),"ガイアフロー")</f>
        <v>ガイアフロー</v>
      </c>
      <c r="D95" s="35" t="str">
        <f>IFERROR(__xludf.DUMMYFUNCTION("""COMPUTED_VALUE"""),"静岡")</f>
        <v>静岡</v>
      </c>
      <c r="E95" s="35" t="str">
        <f>IFERROR(__xludf.DUMMYFUNCTION("""COMPUTED_VALUE"""),"シングルモルト")</f>
        <v>シングルモルト</v>
      </c>
      <c r="F95" s="35"/>
      <c r="G95" s="35" t="str">
        <f>IFERROR(__xludf.DUMMYFUNCTION("""COMPUTED_VALUE"""),"静岡 ユナイテッドS")</f>
        <v>静岡 ユナイテッドS</v>
      </c>
      <c r="H95" s="35"/>
      <c r="I95" s="35"/>
      <c r="J95" s="34"/>
      <c r="K95" s="34"/>
      <c r="L95" s="35" t="str">
        <f>IFERROR(__xludf.DUMMYFUNCTION("""COMPUTED_VALUE"""),"✓")</f>
        <v>✓</v>
      </c>
      <c r="M95" s="35"/>
      <c r="N95" s="36"/>
      <c r="O95" s="35"/>
      <c r="P95" s="37">
        <f>IFERROR(__xludf.DUMMYFUNCTION("""COMPUTED_VALUE"""),1800.0)</f>
        <v>1800</v>
      </c>
      <c r="Q95" s="37">
        <f>IFERROR(__xludf.DUMMYFUNCTION("""COMPUTED_VALUE"""),1000.0)</f>
        <v>1000</v>
      </c>
      <c r="R95" s="37"/>
      <c r="S95" s="38">
        <f>IFERROR(__xludf.DUMMYFUNCTION("""COMPUTED_VALUE"""),45817.0)</f>
        <v>45817</v>
      </c>
      <c r="T95" s="35"/>
      <c r="U95" s="35"/>
      <c r="V95" s="35"/>
      <c r="W95" s="35"/>
      <c r="X95" s="35"/>
      <c r="Y95" s="35"/>
      <c r="Z95" s="35"/>
    </row>
    <row r="96" ht="15.75" customHeight="1">
      <c r="A96" s="35" t="str">
        <f>IFERROR(__xludf.DUMMYFUNCTION("""COMPUTED_VALUE"""),"JP")</f>
        <v>JP</v>
      </c>
      <c r="B96" s="35" t="str">
        <f>IFERROR(__xludf.DUMMYFUNCTION("""COMPUTED_VALUE"""),"ガイアフロー")</f>
        <v>ガイアフロー</v>
      </c>
      <c r="C96" s="35" t="str">
        <f>IFERROR(__xludf.DUMMYFUNCTION("""COMPUTED_VALUE"""),"ガイアフロー")</f>
        <v>ガイアフロー</v>
      </c>
      <c r="D96" s="35" t="str">
        <f>IFERROR(__xludf.DUMMYFUNCTION("""COMPUTED_VALUE"""),"静岡")</f>
        <v>静岡</v>
      </c>
      <c r="E96" s="35" t="str">
        <f>IFERROR(__xludf.DUMMYFUNCTION("""COMPUTED_VALUE"""),"シングルモルト")</f>
        <v>シングルモルト</v>
      </c>
      <c r="F96" s="35"/>
      <c r="G96" s="35" t="str">
        <f>IFERROR(__xludf.DUMMYFUNCTION("""COMPUTED_VALUE"""),"静岡 ユナイテッドS 7年　2025年夏")</f>
        <v>静岡 ユナイテッドS 7年　2025年夏</v>
      </c>
      <c r="H96" s="35"/>
      <c r="I96" s="35"/>
      <c r="J96" s="34"/>
      <c r="K96" s="34"/>
      <c r="L96" s="35"/>
      <c r="M96" s="35"/>
      <c r="N96" s="36"/>
      <c r="O96" s="35"/>
      <c r="P96" s="37">
        <f>IFERROR(__xludf.DUMMYFUNCTION("""COMPUTED_VALUE"""),2400.0)</f>
        <v>2400</v>
      </c>
      <c r="Q96" s="37">
        <f>IFERROR(__xludf.DUMMYFUNCTION("""COMPUTED_VALUE"""),1300.0)</f>
        <v>1300</v>
      </c>
      <c r="R96" s="37"/>
      <c r="S96" s="38"/>
      <c r="T96" s="35"/>
      <c r="U96" s="35"/>
      <c r="V96" s="35"/>
      <c r="W96" s="35"/>
      <c r="X96" s="35"/>
      <c r="Y96" s="35"/>
      <c r="Z96" s="35"/>
    </row>
    <row r="97" ht="15.75" customHeight="1">
      <c r="A97" s="35" t="str">
        <f>IFERROR(__xludf.DUMMYFUNCTION("""COMPUTED_VALUE"""),"JP")</f>
        <v>JP</v>
      </c>
      <c r="B97" s="35" t="str">
        <f>IFERROR(__xludf.DUMMYFUNCTION("""COMPUTED_VALUE"""),"ガイアフロー")</f>
        <v>ガイアフロー</v>
      </c>
      <c r="C97" s="35" t="str">
        <f>IFERROR(__xludf.DUMMYFUNCTION("""COMPUTED_VALUE"""),"ガイアフロー")</f>
        <v>ガイアフロー</v>
      </c>
      <c r="D97" s="35" t="str">
        <f>IFERROR(__xludf.DUMMYFUNCTION("""COMPUTED_VALUE"""),"静岡")</f>
        <v>静岡</v>
      </c>
      <c r="E97" s="35" t="str">
        <f>IFERROR(__xludf.DUMMYFUNCTION("""COMPUTED_VALUE"""),"シングルモルト")</f>
        <v>シングルモルト</v>
      </c>
      <c r="F97" s="35"/>
      <c r="G97" s="35" t="str">
        <f>IFERROR(__xludf.DUMMYFUNCTION("""COMPUTED_VALUE"""),"静岡 コンタクトS")</f>
        <v>静岡 コンタクトS</v>
      </c>
      <c r="H97" s="35"/>
      <c r="I97" s="35"/>
      <c r="J97" s="34"/>
      <c r="K97" s="34"/>
      <c r="L97" s="35"/>
      <c r="M97" s="35"/>
      <c r="N97" s="36"/>
      <c r="O97" s="35"/>
      <c r="P97" s="37">
        <f>IFERROR(__xludf.DUMMYFUNCTION("""COMPUTED_VALUE"""),2200.0)</f>
        <v>2200</v>
      </c>
      <c r="Q97" s="37">
        <f>IFERROR(__xludf.DUMMYFUNCTION("""COMPUTED_VALUE"""),1200.0)</f>
        <v>1200</v>
      </c>
      <c r="R97" s="37"/>
      <c r="S97" s="38">
        <f>IFERROR(__xludf.DUMMYFUNCTION("""COMPUTED_VALUE"""),44916.0)</f>
        <v>44916</v>
      </c>
      <c r="T97" s="35"/>
      <c r="U97" s="35"/>
      <c r="V97" s="35"/>
      <c r="W97" s="35"/>
      <c r="X97" s="35"/>
      <c r="Y97" s="35"/>
      <c r="Z97" s="35"/>
    </row>
    <row r="98" ht="15.75" customHeight="1">
      <c r="A98" s="35" t="str">
        <f>IFERROR(__xludf.DUMMYFUNCTION("""COMPUTED_VALUE"""),"JP")</f>
        <v>JP</v>
      </c>
      <c r="B98" s="35" t="str">
        <f>IFERROR(__xludf.DUMMYFUNCTION("""COMPUTED_VALUE"""),"ガイアフロー")</f>
        <v>ガイアフロー</v>
      </c>
      <c r="C98" s="35" t="str">
        <f>IFERROR(__xludf.DUMMYFUNCTION("""COMPUTED_VALUE"""),"ガイアフロー")</f>
        <v>ガイアフロー</v>
      </c>
      <c r="D98" s="35" t="str">
        <f>IFERROR(__xludf.DUMMYFUNCTION("""COMPUTED_VALUE"""),"静岡")</f>
        <v>静岡</v>
      </c>
      <c r="E98" s="35" t="str">
        <f>IFERROR(__xludf.DUMMYFUNCTION("""COMPUTED_VALUE"""),"シングルモルト")</f>
        <v>シングルモルト</v>
      </c>
      <c r="F98" s="35"/>
      <c r="G98" s="35" t="str">
        <f>IFERROR(__xludf.DUMMYFUNCTION("""COMPUTED_VALUE"""),"静岡 プロローグK")</f>
        <v>静岡 プロローグK</v>
      </c>
      <c r="H98" s="35"/>
      <c r="I98" s="35"/>
      <c r="J98" s="34"/>
      <c r="K98" s="34"/>
      <c r="L98" s="35"/>
      <c r="M98" s="35"/>
      <c r="N98" s="36"/>
      <c r="O98" s="35"/>
      <c r="P98" s="37">
        <f>IFERROR(__xludf.DUMMYFUNCTION("""COMPUTED_VALUE"""),2200.0)</f>
        <v>2200</v>
      </c>
      <c r="Q98" s="37">
        <f>IFERROR(__xludf.DUMMYFUNCTION("""COMPUTED_VALUE"""),1200.0)</f>
        <v>1200</v>
      </c>
      <c r="R98" s="37"/>
      <c r="S98" s="38">
        <f>IFERROR(__xludf.DUMMYFUNCTION("""COMPUTED_VALUE"""),44909.0)</f>
        <v>44909</v>
      </c>
      <c r="T98" s="35"/>
      <c r="U98" s="35"/>
      <c r="V98" s="35"/>
      <c r="W98" s="35"/>
      <c r="X98" s="35"/>
      <c r="Y98" s="35"/>
      <c r="Z98" s="35"/>
    </row>
    <row r="99" ht="15.75" customHeight="1">
      <c r="A99" s="35" t="str">
        <f>IFERROR(__xludf.DUMMYFUNCTION("""COMPUTED_VALUE"""),"JP")</f>
        <v>JP</v>
      </c>
      <c r="B99" s="35" t="str">
        <f>IFERROR(__xludf.DUMMYFUNCTION("""COMPUTED_VALUE"""),"ガイアフロー")</f>
        <v>ガイアフロー</v>
      </c>
      <c r="C99" s="35" t="str">
        <f>IFERROR(__xludf.DUMMYFUNCTION("""COMPUTED_VALUE"""),"ガイアフロー")</f>
        <v>ガイアフロー</v>
      </c>
      <c r="D99" s="35" t="str">
        <f>IFERROR(__xludf.DUMMYFUNCTION("""COMPUTED_VALUE"""),"静岡")</f>
        <v>静岡</v>
      </c>
      <c r="E99" s="35" t="str">
        <f>IFERROR(__xludf.DUMMYFUNCTION("""COMPUTED_VALUE"""),"シングルモルト")</f>
        <v>シングルモルト</v>
      </c>
      <c r="F99" s="35"/>
      <c r="G99" s="35" t="str">
        <f>IFERROR(__xludf.DUMMYFUNCTION("""COMPUTED_VALUE"""),"静岡 プロローグW")</f>
        <v>静岡 プロローグW</v>
      </c>
      <c r="H99" s="35"/>
      <c r="I99" s="35"/>
      <c r="J99" s="34"/>
      <c r="K99" s="34"/>
      <c r="L99" s="35"/>
      <c r="M99" s="35"/>
      <c r="N99" s="36"/>
      <c r="O99" s="35"/>
      <c r="P99" s="37">
        <f>IFERROR(__xludf.DUMMYFUNCTION("""COMPUTED_VALUE"""),2200.0)</f>
        <v>2200</v>
      </c>
      <c r="Q99" s="37">
        <f>IFERROR(__xludf.DUMMYFUNCTION("""COMPUTED_VALUE"""),1200.0)</f>
        <v>1200</v>
      </c>
      <c r="R99" s="37"/>
      <c r="S99" s="38">
        <f>IFERROR(__xludf.DUMMYFUNCTION("""COMPUTED_VALUE"""),44915.0)</f>
        <v>44915</v>
      </c>
      <c r="T99" s="35"/>
      <c r="U99" s="35"/>
      <c r="V99" s="35"/>
      <c r="W99" s="35"/>
      <c r="X99" s="35"/>
      <c r="Y99" s="35"/>
      <c r="Z99" s="35"/>
    </row>
    <row r="100" ht="15.75" customHeight="1">
      <c r="A100" s="35" t="str">
        <f>IFERROR(__xludf.DUMMYFUNCTION("""COMPUTED_VALUE"""),"JP")</f>
        <v>JP</v>
      </c>
      <c r="B100" s="35" t="str">
        <f>IFERROR(__xludf.DUMMYFUNCTION("""COMPUTED_VALUE"""),"ガイアフロー")</f>
        <v>ガイアフロー</v>
      </c>
      <c r="C100" s="35" t="str">
        <f>IFERROR(__xludf.DUMMYFUNCTION("""COMPUTED_VALUE"""),"ガイアフロー")</f>
        <v>ガイアフロー</v>
      </c>
      <c r="D100" s="35" t="str">
        <f>IFERROR(__xludf.DUMMYFUNCTION("""COMPUTED_VALUE"""),"静岡")</f>
        <v>静岡</v>
      </c>
      <c r="E100" s="35" t="str">
        <f>IFERROR(__xludf.DUMMYFUNCTION("""COMPUTED_VALUE"""),"シングルモルト")</f>
        <v>シングルモルト</v>
      </c>
      <c r="F100" s="35"/>
      <c r="G100" s="35" t="str">
        <f>IFERROR(__xludf.DUMMYFUNCTION("""COMPUTED_VALUE"""),"静岡 ポットスティルK 純外国産大麦 初版")</f>
        <v>静岡 ポットスティルK 純外国産大麦 初版</v>
      </c>
      <c r="H100" s="35"/>
      <c r="I100" s="35"/>
      <c r="J100" s="34"/>
      <c r="K100" s="34"/>
      <c r="L100" s="35"/>
      <c r="M100" s="35"/>
      <c r="N100" s="36"/>
      <c r="O100" s="35"/>
      <c r="P100" s="37">
        <f>IFERROR(__xludf.DUMMYFUNCTION("""COMPUTED_VALUE"""),2200.0)</f>
        <v>2200</v>
      </c>
      <c r="Q100" s="37">
        <f>IFERROR(__xludf.DUMMYFUNCTION("""COMPUTED_VALUE"""),1200.0)</f>
        <v>1200</v>
      </c>
      <c r="R100" s="37"/>
      <c r="S100" s="38">
        <f>IFERROR(__xludf.DUMMYFUNCTION("""COMPUTED_VALUE"""),44998.0)</f>
        <v>44998</v>
      </c>
      <c r="T100" s="35"/>
      <c r="U100" s="35"/>
      <c r="V100" s="35"/>
      <c r="W100" s="35"/>
      <c r="X100" s="35"/>
      <c r="Y100" s="35"/>
      <c r="Z100" s="35"/>
    </row>
    <row r="101" ht="15.75" customHeight="1">
      <c r="A101" s="35" t="str">
        <f>IFERROR(__xludf.DUMMYFUNCTION("""COMPUTED_VALUE"""),"JP")</f>
        <v>JP</v>
      </c>
      <c r="B101" s="35" t="str">
        <f>IFERROR(__xludf.DUMMYFUNCTION("""COMPUTED_VALUE"""),"ガイアフロー")</f>
        <v>ガイアフロー</v>
      </c>
      <c r="C101" s="35" t="str">
        <f>IFERROR(__xludf.DUMMYFUNCTION("""COMPUTED_VALUE"""),"ガイアフロー")</f>
        <v>ガイアフロー</v>
      </c>
      <c r="D101" s="35" t="str">
        <f>IFERROR(__xludf.DUMMYFUNCTION("""COMPUTED_VALUE"""),"静岡")</f>
        <v>静岡</v>
      </c>
      <c r="E101" s="35" t="str">
        <f>IFERROR(__xludf.DUMMYFUNCTION("""COMPUTED_VALUE"""),"シングルモルト")</f>
        <v>シングルモルト</v>
      </c>
      <c r="F101" s="35"/>
      <c r="G101" s="35" t="str">
        <f>IFERROR(__xludf.DUMMYFUNCTION("""COMPUTED_VALUE"""),"静岡 ポットスティルK 純日本大麦 初版")</f>
        <v>静岡 ポットスティルK 純日本大麦 初版</v>
      </c>
      <c r="H101" s="35"/>
      <c r="I101" s="35"/>
      <c r="J101" s="34"/>
      <c r="K101" s="34"/>
      <c r="L101" s="35"/>
      <c r="M101" s="35"/>
      <c r="N101" s="36"/>
      <c r="O101" s="35"/>
      <c r="P101" s="37">
        <f>IFERROR(__xludf.DUMMYFUNCTION("""COMPUTED_VALUE"""),2800.0)</f>
        <v>2800</v>
      </c>
      <c r="Q101" s="37">
        <f>IFERROR(__xludf.DUMMYFUNCTION("""COMPUTED_VALUE"""),1500.0)</f>
        <v>1500</v>
      </c>
      <c r="R101" s="37"/>
      <c r="S101" s="38">
        <f>IFERROR(__xludf.DUMMYFUNCTION("""COMPUTED_VALUE"""),44819.0)</f>
        <v>44819</v>
      </c>
      <c r="T101" s="35"/>
      <c r="U101" s="35"/>
      <c r="V101" s="35"/>
      <c r="W101" s="35"/>
      <c r="X101" s="35"/>
      <c r="Y101" s="35"/>
      <c r="Z101" s="35"/>
    </row>
    <row r="102" ht="15.75" customHeight="1">
      <c r="A102" s="35" t="str">
        <f>IFERROR(__xludf.DUMMYFUNCTION("""COMPUTED_VALUE"""),"JP")</f>
        <v>JP</v>
      </c>
      <c r="B102" s="35" t="str">
        <f>IFERROR(__xludf.DUMMYFUNCTION("""COMPUTED_VALUE"""),"ガイアフロー")</f>
        <v>ガイアフロー</v>
      </c>
      <c r="C102" s="35" t="str">
        <f>IFERROR(__xludf.DUMMYFUNCTION("""COMPUTED_VALUE"""),"ガイアフロー")</f>
        <v>ガイアフロー</v>
      </c>
      <c r="D102" s="35" t="str">
        <f>IFERROR(__xludf.DUMMYFUNCTION("""COMPUTED_VALUE"""),"静岡")</f>
        <v>静岡</v>
      </c>
      <c r="E102" s="35" t="str">
        <f>IFERROR(__xludf.DUMMYFUNCTION("""COMPUTED_VALUE"""),"シングルモルト")</f>
        <v>シングルモルト</v>
      </c>
      <c r="F102" s="35"/>
      <c r="G102" s="35" t="str">
        <f>IFERROR(__xludf.DUMMYFUNCTION("""COMPUTED_VALUE"""),"静岡 ポットスティルW 純外国産大麦 初版")</f>
        <v>静岡 ポットスティルW 純外国産大麦 初版</v>
      </c>
      <c r="H102" s="35"/>
      <c r="I102" s="35"/>
      <c r="J102" s="34"/>
      <c r="K102" s="34"/>
      <c r="L102" s="35"/>
      <c r="M102" s="35"/>
      <c r="N102" s="36"/>
      <c r="O102" s="35"/>
      <c r="P102" s="37">
        <f>IFERROR(__xludf.DUMMYFUNCTION("""COMPUTED_VALUE"""),2200.0)</f>
        <v>2200</v>
      </c>
      <c r="Q102" s="37">
        <f>IFERROR(__xludf.DUMMYFUNCTION("""COMPUTED_VALUE"""),1200.0)</f>
        <v>1200</v>
      </c>
      <c r="R102" s="37"/>
      <c r="S102" s="38">
        <f>IFERROR(__xludf.DUMMYFUNCTION("""COMPUTED_VALUE"""),44798.0)</f>
        <v>44798</v>
      </c>
      <c r="T102" s="35"/>
      <c r="U102" s="35"/>
      <c r="V102" s="35"/>
      <c r="W102" s="35"/>
      <c r="X102" s="35"/>
      <c r="Y102" s="35"/>
      <c r="Z102" s="35"/>
    </row>
    <row r="103" ht="15.75" customHeight="1">
      <c r="A103" s="35" t="str">
        <f>IFERROR(__xludf.DUMMYFUNCTION("""COMPUTED_VALUE"""),"JP")</f>
        <v>JP</v>
      </c>
      <c r="B103" s="35" t="str">
        <f>IFERROR(__xludf.DUMMYFUNCTION("""COMPUTED_VALUE"""),"ガイアフロー")</f>
        <v>ガイアフロー</v>
      </c>
      <c r="C103" s="35" t="str">
        <f>IFERROR(__xludf.DUMMYFUNCTION("""COMPUTED_VALUE"""),"ガイアフロー")</f>
        <v>ガイアフロー</v>
      </c>
      <c r="D103" s="35" t="str">
        <f>IFERROR(__xludf.DUMMYFUNCTION("""COMPUTED_VALUE"""),"静岡")</f>
        <v>静岡</v>
      </c>
      <c r="E103" s="35" t="str">
        <f>IFERROR(__xludf.DUMMYFUNCTION("""COMPUTED_VALUE"""),"シングルモルト")</f>
        <v>シングルモルト</v>
      </c>
      <c r="F103" s="35"/>
      <c r="G103" s="35" t="str">
        <f>IFERROR(__xludf.DUMMYFUNCTION("""COMPUTED_VALUE"""),"静岡 ポットスティルW 純日本大麦 初版")</f>
        <v>静岡 ポットスティルW 純日本大麦 初版</v>
      </c>
      <c r="H103" s="35"/>
      <c r="I103" s="35"/>
      <c r="J103" s="34"/>
      <c r="K103" s="34"/>
      <c r="L103" s="35"/>
      <c r="M103" s="35"/>
      <c r="N103" s="36"/>
      <c r="O103" s="35"/>
      <c r="P103" s="37">
        <f>IFERROR(__xludf.DUMMYFUNCTION("""COMPUTED_VALUE"""),2800.0)</f>
        <v>2800</v>
      </c>
      <c r="Q103" s="37">
        <f>IFERROR(__xludf.DUMMYFUNCTION("""COMPUTED_VALUE"""),1500.0)</f>
        <v>1500</v>
      </c>
      <c r="R103" s="37"/>
      <c r="S103" s="38">
        <f>IFERROR(__xludf.DUMMYFUNCTION("""COMPUTED_VALUE"""),45091.0)</f>
        <v>45091</v>
      </c>
      <c r="T103" s="35"/>
      <c r="U103" s="35"/>
      <c r="V103" s="35"/>
      <c r="W103" s="35"/>
      <c r="X103" s="35"/>
      <c r="Y103" s="35"/>
      <c r="Z103" s="35"/>
    </row>
    <row r="104" ht="15.75" customHeight="1">
      <c r="A104" s="35" t="str">
        <f>IFERROR(__xludf.DUMMYFUNCTION("""COMPUTED_VALUE"""),"JP")</f>
        <v>JP</v>
      </c>
      <c r="B104" s="35" t="str">
        <f>IFERROR(__xludf.DUMMYFUNCTION("""COMPUTED_VALUE"""),"サクラオB&amp;D")</f>
        <v>サクラオB&amp;D</v>
      </c>
      <c r="C104" s="35" t="str">
        <f>IFERROR(__xludf.DUMMYFUNCTION("""COMPUTED_VALUE"""),"サクラオB&amp;D")</f>
        <v>サクラオB&amp;D</v>
      </c>
      <c r="D104" s="35" t="str">
        <f>IFERROR(__xludf.DUMMYFUNCTION("""COMPUTED_VALUE"""),"桜尾")</f>
        <v>桜尾</v>
      </c>
      <c r="E104" s="35" t="str">
        <f>IFERROR(__xludf.DUMMYFUNCTION("""COMPUTED_VALUE"""),"シングルモルト")</f>
        <v>シングルモルト</v>
      </c>
      <c r="F104" s="35"/>
      <c r="G104" s="35" t="str">
        <f>IFERROR(__xludf.DUMMYFUNCTION("""COMPUTED_VALUE"""),"桜尾 1st.リリースカスクストレングス")</f>
        <v>桜尾 1st.リリースカスクストレングス</v>
      </c>
      <c r="H104" s="35"/>
      <c r="I104" s="35"/>
      <c r="J104" s="34"/>
      <c r="K104" s="34"/>
      <c r="L104" s="35"/>
      <c r="M104" s="35"/>
      <c r="N104" s="36"/>
      <c r="O104" s="35"/>
      <c r="P104" s="37">
        <f>IFERROR(__xludf.DUMMYFUNCTION("""COMPUTED_VALUE"""),2600.0)</f>
        <v>2600</v>
      </c>
      <c r="Q104" s="37">
        <f>IFERROR(__xludf.DUMMYFUNCTION("""COMPUTED_VALUE"""),1400.0)</f>
        <v>1400</v>
      </c>
      <c r="R104" s="37"/>
      <c r="S104" s="38">
        <f>IFERROR(__xludf.DUMMYFUNCTION("""COMPUTED_VALUE"""),45348.0)</f>
        <v>45348</v>
      </c>
      <c r="T104" s="35"/>
      <c r="U104" s="35"/>
      <c r="V104" s="35"/>
      <c r="W104" s="35"/>
      <c r="X104" s="35"/>
      <c r="Y104" s="35"/>
      <c r="Z104" s="35"/>
    </row>
    <row r="105" ht="15.75" customHeight="1">
      <c r="A105" s="35" t="str">
        <f>IFERROR(__xludf.DUMMYFUNCTION("""COMPUTED_VALUE"""),"JP")</f>
        <v>JP</v>
      </c>
      <c r="B105" s="35" t="str">
        <f>IFERROR(__xludf.DUMMYFUNCTION("""COMPUTED_VALUE"""),"サクラオB&amp;D")</f>
        <v>サクラオB&amp;D</v>
      </c>
      <c r="C105" s="35" t="str">
        <f>IFERROR(__xludf.DUMMYFUNCTION("""COMPUTED_VALUE"""),"サクラオB&amp;D")</f>
        <v>サクラオB&amp;D</v>
      </c>
      <c r="D105" s="35" t="str">
        <f>IFERROR(__xludf.DUMMYFUNCTION("""COMPUTED_VALUE"""),"桜尾")</f>
        <v>桜尾</v>
      </c>
      <c r="E105" s="35" t="str">
        <f>IFERROR(__xludf.DUMMYFUNCTION("""COMPUTED_VALUE"""),"シングルモルト")</f>
        <v>シングルモルト</v>
      </c>
      <c r="F105" s="35"/>
      <c r="G105" s="35" t="str">
        <f>IFERROR(__xludf.DUMMYFUNCTION("""COMPUTED_VALUE"""),"桜尾")</f>
        <v>桜尾</v>
      </c>
      <c r="H105" s="35"/>
      <c r="I105" s="35"/>
      <c r="J105" s="34"/>
      <c r="K105" s="34"/>
      <c r="L105" s="35" t="str">
        <f>IFERROR(__xludf.DUMMYFUNCTION("""COMPUTED_VALUE"""),"✓")</f>
        <v>✓</v>
      </c>
      <c r="M105" s="35"/>
      <c r="N105" s="36"/>
      <c r="O105" s="35"/>
      <c r="P105" s="37">
        <f>IFERROR(__xludf.DUMMYFUNCTION("""COMPUTED_VALUE"""),1200.0)</f>
        <v>1200</v>
      </c>
      <c r="Q105" s="37">
        <f>IFERROR(__xludf.DUMMYFUNCTION("""COMPUTED_VALUE"""),700.0)</f>
        <v>700</v>
      </c>
      <c r="R105" s="37"/>
      <c r="S105" s="38">
        <f>IFERROR(__xludf.DUMMYFUNCTION("""COMPUTED_VALUE"""),44985.0)</f>
        <v>44985</v>
      </c>
      <c r="T105" s="35"/>
      <c r="U105" s="35"/>
      <c r="V105" s="35"/>
      <c r="W105" s="35"/>
      <c r="X105" s="35"/>
      <c r="Y105" s="35"/>
      <c r="Z105" s="35"/>
    </row>
    <row r="106" ht="15.75" customHeight="1">
      <c r="A106" s="35" t="str">
        <f>IFERROR(__xludf.DUMMYFUNCTION("""COMPUTED_VALUE"""),"JP")</f>
        <v>JP</v>
      </c>
      <c r="B106" s="35" t="str">
        <f>IFERROR(__xludf.DUMMYFUNCTION("""COMPUTED_VALUE"""),"サクラオB&amp;D")</f>
        <v>サクラオB&amp;D</v>
      </c>
      <c r="C106" s="35" t="str">
        <f>IFERROR(__xludf.DUMMYFUNCTION("""COMPUTED_VALUE"""),"サクラオB&amp;D")</f>
        <v>サクラオB&amp;D</v>
      </c>
      <c r="D106" s="35" t="str">
        <f>IFERROR(__xludf.DUMMYFUNCTION("""COMPUTED_VALUE"""),"桜尾")</f>
        <v>桜尾</v>
      </c>
      <c r="E106" s="35" t="str">
        <f>IFERROR(__xludf.DUMMYFUNCTION("""COMPUTED_VALUE"""),"シングルモルト")</f>
        <v>シングルモルト</v>
      </c>
      <c r="F106" s="35"/>
      <c r="G106" s="35" t="str">
        <f>IFERROR(__xludf.DUMMYFUNCTION("""COMPUTED_VALUE"""),"桜尾シェリーカスク スティルマンズセレクション")</f>
        <v>桜尾シェリーカスク スティルマンズセレクション</v>
      </c>
      <c r="H106" s="35"/>
      <c r="I106" s="35"/>
      <c r="J106" s="34"/>
      <c r="K106" s="34"/>
      <c r="L106" s="35"/>
      <c r="M106" s="35"/>
      <c r="N106" s="36"/>
      <c r="O106" s="35"/>
      <c r="P106" s="37">
        <f>IFERROR(__xludf.DUMMYFUNCTION("""COMPUTED_VALUE"""),2400.0)</f>
        <v>2400</v>
      </c>
      <c r="Q106" s="37">
        <f>IFERROR(__xludf.DUMMYFUNCTION("""COMPUTED_VALUE"""),1300.0)</f>
        <v>1300</v>
      </c>
      <c r="R106" s="37"/>
      <c r="S106" s="38">
        <f>IFERROR(__xludf.DUMMYFUNCTION("""COMPUTED_VALUE"""),45347.0)</f>
        <v>45347</v>
      </c>
      <c r="T106" s="35"/>
      <c r="U106" s="35"/>
      <c r="V106" s="35"/>
      <c r="W106" s="35"/>
      <c r="X106" s="35"/>
      <c r="Y106" s="35"/>
      <c r="Z106" s="35"/>
    </row>
    <row r="107" ht="15.75" customHeight="1">
      <c r="A107" s="35" t="str">
        <f>IFERROR(__xludf.DUMMYFUNCTION("""COMPUTED_VALUE"""),"JP")</f>
        <v>JP</v>
      </c>
      <c r="B107" s="35" t="str">
        <f>IFERROR(__xludf.DUMMYFUNCTION("""COMPUTED_VALUE"""),"サクラオB&amp;D")</f>
        <v>サクラオB&amp;D</v>
      </c>
      <c r="C107" s="35" t="str">
        <f>IFERROR(__xludf.DUMMYFUNCTION("""COMPUTED_VALUE"""),"サクラオB&amp;D")</f>
        <v>サクラオB&amp;D</v>
      </c>
      <c r="D107" s="35" t="str">
        <f>IFERROR(__xludf.DUMMYFUNCTION("""COMPUTED_VALUE"""),"桜尾")</f>
        <v>桜尾</v>
      </c>
      <c r="E107" s="35" t="str">
        <f>IFERROR(__xludf.DUMMYFUNCTION("""COMPUTED_VALUE"""),"シングルモルト")</f>
        <v>シングルモルト</v>
      </c>
      <c r="F107" s="35"/>
      <c r="G107" s="35" t="str">
        <f>IFERROR(__xludf.DUMMYFUNCTION("""COMPUTED_VALUE"""),"桜尾 スパニッシュオーク スティルマンズセレクション")</f>
        <v>桜尾 スパニッシュオーク スティルマンズセレクション</v>
      </c>
      <c r="H107" s="35"/>
      <c r="I107" s="35"/>
      <c r="J107" s="34"/>
      <c r="K107" s="34"/>
      <c r="L107" s="35"/>
      <c r="M107" s="35"/>
      <c r="N107" s="36">
        <f>IFERROR(__xludf.DUMMYFUNCTION("""COMPUTED_VALUE"""),0.5)</f>
        <v>0.5</v>
      </c>
      <c r="O107" s="35"/>
      <c r="P107" s="37">
        <f>IFERROR(__xludf.DUMMYFUNCTION("""COMPUTED_VALUE"""),2600.0)</f>
        <v>2600</v>
      </c>
      <c r="Q107" s="37">
        <f>IFERROR(__xludf.DUMMYFUNCTION("""COMPUTED_VALUE"""),1400.0)</f>
        <v>1400</v>
      </c>
      <c r="R107" s="37"/>
      <c r="S107" s="38">
        <f>IFERROR(__xludf.DUMMYFUNCTION("""COMPUTED_VALUE"""),45920.0)</f>
        <v>45920</v>
      </c>
      <c r="T107" s="35"/>
      <c r="U107" s="35"/>
      <c r="V107" s="35"/>
      <c r="W107" s="35"/>
      <c r="X107" s="35"/>
      <c r="Y107" s="35"/>
      <c r="Z107" s="35"/>
    </row>
    <row r="108" ht="15.75" customHeight="1">
      <c r="A108" s="35" t="str">
        <f>IFERROR(__xludf.DUMMYFUNCTION("""COMPUTED_VALUE"""),"JP")</f>
        <v>JP</v>
      </c>
      <c r="B108" s="35" t="str">
        <f>IFERROR(__xludf.DUMMYFUNCTION("""COMPUTED_VALUE"""),"サクラオB&amp;D")</f>
        <v>サクラオB&amp;D</v>
      </c>
      <c r="C108" s="35" t="str">
        <f>IFERROR(__xludf.DUMMYFUNCTION("""COMPUTED_VALUE"""),"サクラオB&amp;D")</f>
        <v>サクラオB&amp;D</v>
      </c>
      <c r="D108" s="35" t="str">
        <f>IFERROR(__xludf.DUMMYFUNCTION("""COMPUTED_VALUE"""),"桜尾")</f>
        <v>桜尾</v>
      </c>
      <c r="E108" s="35" t="str">
        <f>IFERROR(__xludf.DUMMYFUNCTION("""COMPUTED_VALUE"""),"シングルモルト")</f>
        <v>シングルモルト</v>
      </c>
      <c r="F108" s="35"/>
      <c r="G108" s="35" t="str">
        <f>IFERROR(__xludf.DUMMYFUNCTION("""COMPUTED_VALUE"""),"戸河内")</f>
        <v>戸河内</v>
      </c>
      <c r="H108" s="35"/>
      <c r="I108" s="35" t="str">
        <f>IFERROR(__xludf.DUMMYFUNCTION("""COMPUTED_VALUE"""),"戸河内")</f>
        <v>戸河内</v>
      </c>
      <c r="J108" s="34"/>
      <c r="K108" s="34"/>
      <c r="L108" s="35" t="str">
        <f>IFERROR(__xludf.DUMMYFUNCTION("""COMPUTED_VALUE"""),"✓")</f>
        <v>✓</v>
      </c>
      <c r="M108" s="35"/>
      <c r="N108" s="36"/>
      <c r="O108" s="35"/>
      <c r="P108" s="37">
        <f>IFERROR(__xludf.DUMMYFUNCTION("""COMPUTED_VALUE"""),1200.0)</f>
        <v>1200</v>
      </c>
      <c r="Q108" s="37">
        <f>IFERROR(__xludf.DUMMYFUNCTION("""COMPUTED_VALUE"""),700.0)</f>
        <v>700</v>
      </c>
      <c r="R108" s="37"/>
      <c r="S108" s="38">
        <f>IFERROR(__xludf.DUMMYFUNCTION("""COMPUTED_VALUE"""),44986.0)</f>
        <v>44986</v>
      </c>
      <c r="T108" s="35"/>
      <c r="U108" s="35"/>
      <c r="V108" s="35"/>
      <c r="W108" s="35"/>
      <c r="X108" s="35"/>
      <c r="Y108" s="35"/>
      <c r="Z108" s="35"/>
    </row>
    <row r="109" ht="15.75" customHeight="1">
      <c r="A109" s="35" t="str">
        <f>IFERROR(__xludf.DUMMYFUNCTION("""COMPUTED_VALUE"""),"JP")</f>
        <v>JP</v>
      </c>
      <c r="B109" s="35" t="str">
        <f>IFERROR(__xludf.DUMMYFUNCTION("""COMPUTED_VALUE"""),"サクラオB&amp;D")</f>
        <v>サクラオB&amp;D</v>
      </c>
      <c r="C109" s="35" t="str">
        <f>IFERROR(__xludf.DUMMYFUNCTION("""COMPUTED_VALUE"""),"サクラオB&amp;D")</f>
        <v>サクラオB&amp;D</v>
      </c>
      <c r="D109" s="35" t="str">
        <f>IFERROR(__xludf.DUMMYFUNCTION("""COMPUTED_VALUE"""),"桜尾")</f>
        <v>桜尾</v>
      </c>
      <c r="E109" s="35" t="str">
        <f>IFERROR(__xludf.DUMMYFUNCTION("""COMPUTED_VALUE"""),"シングルモルト")</f>
        <v>シングルモルト</v>
      </c>
      <c r="F109" s="35"/>
      <c r="G109" s="35" t="str">
        <f>IFERROR(__xludf.DUMMYFUNCTION("""COMPUTED_VALUE"""),"戸河内 1st.リリースカスクストレングス")</f>
        <v>戸河内 1st.リリースカスクストレングス</v>
      </c>
      <c r="H109" s="35"/>
      <c r="I109" s="35" t="str">
        <f>IFERROR(__xludf.DUMMYFUNCTION("""COMPUTED_VALUE"""),"戸河内")</f>
        <v>戸河内</v>
      </c>
      <c r="J109" s="34"/>
      <c r="K109" s="34"/>
      <c r="L109" s="35"/>
      <c r="M109" s="35"/>
      <c r="N109" s="36"/>
      <c r="O109" s="35"/>
      <c r="P109" s="37">
        <f>IFERROR(__xludf.DUMMYFUNCTION("""COMPUTED_VALUE"""),2600.0)</f>
        <v>2600</v>
      </c>
      <c r="Q109" s="37">
        <f>IFERROR(__xludf.DUMMYFUNCTION("""COMPUTED_VALUE"""),1400.0)</f>
        <v>1400</v>
      </c>
      <c r="R109" s="37"/>
      <c r="S109" s="38">
        <f>IFERROR(__xludf.DUMMYFUNCTION("""COMPUTED_VALUE"""),45349.0)</f>
        <v>45349</v>
      </c>
      <c r="T109" s="35"/>
      <c r="U109" s="35"/>
      <c r="V109" s="35"/>
      <c r="W109" s="35"/>
      <c r="X109" s="35"/>
      <c r="Y109" s="35"/>
      <c r="Z109" s="35"/>
    </row>
    <row r="110" ht="15.75" customHeight="1">
      <c r="A110" s="35" t="str">
        <f>IFERROR(__xludf.DUMMYFUNCTION("""COMPUTED_VALUE"""),"JP")</f>
        <v>JP</v>
      </c>
      <c r="B110" s="35" t="str">
        <f>IFERROR(__xludf.DUMMYFUNCTION("""COMPUTED_VALUE"""),"金龍")</f>
        <v>金龍</v>
      </c>
      <c r="C110" s="35" t="str">
        <f>IFERROR(__xludf.DUMMYFUNCTION("""COMPUTED_VALUE"""),"金龍")</f>
        <v>金龍</v>
      </c>
      <c r="D110" s="35" t="str">
        <f>IFERROR(__xludf.DUMMYFUNCTION("""COMPUTED_VALUE"""),"遊佐")</f>
        <v>遊佐</v>
      </c>
      <c r="E110" s="35" t="str">
        <f>IFERROR(__xludf.DUMMYFUNCTION("""COMPUTED_VALUE"""),"シングルモルト")</f>
        <v>シングルモルト</v>
      </c>
      <c r="F110" s="35"/>
      <c r="G110" s="35" t="str">
        <f>IFERROR(__xludf.DUMMYFUNCTION("""COMPUTED_VALUE"""),"遊佐 2024")</f>
        <v>遊佐 2024</v>
      </c>
      <c r="H110" s="35"/>
      <c r="I110" s="35"/>
      <c r="J110" s="34"/>
      <c r="K110" s="34"/>
      <c r="L110" s="35" t="str">
        <f>IFERROR(__xludf.DUMMYFUNCTION("""COMPUTED_VALUE"""),"✓")</f>
        <v>✓</v>
      </c>
      <c r="M110" s="35"/>
      <c r="N110" s="36"/>
      <c r="O110" s="35"/>
      <c r="P110" s="37">
        <f>IFERROR(__xludf.DUMMYFUNCTION("""COMPUTED_VALUE"""),2200.0)</f>
        <v>2200</v>
      </c>
      <c r="Q110" s="37">
        <f>IFERROR(__xludf.DUMMYFUNCTION("""COMPUTED_VALUE"""),1200.0)</f>
        <v>1200</v>
      </c>
      <c r="R110" s="37"/>
      <c r="S110" s="38">
        <f>IFERROR(__xludf.DUMMYFUNCTION("""COMPUTED_VALUE"""),45511.0)</f>
        <v>45511</v>
      </c>
      <c r="T110" s="35"/>
      <c r="U110" s="35"/>
      <c r="V110" s="35"/>
      <c r="W110" s="35"/>
      <c r="X110" s="35"/>
      <c r="Y110" s="35"/>
      <c r="Z110" s="35"/>
    </row>
    <row r="111" ht="15.75" customHeight="1">
      <c r="A111" s="35" t="str">
        <f>IFERROR(__xludf.DUMMYFUNCTION("""COMPUTED_VALUE"""),"JP")</f>
        <v>JP</v>
      </c>
      <c r="B111" s="35" t="str">
        <f>IFERROR(__xludf.DUMMYFUNCTION("""COMPUTED_VALUE"""),"金龍")</f>
        <v>金龍</v>
      </c>
      <c r="C111" s="35" t="str">
        <f>IFERROR(__xludf.DUMMYFUNCTION("""COMPUTED_VALUE"""),"金龍")</f>
        <v>金龍</v>
      </c>
      <c r="D111" s="35" t="str">
        <f>IFERROR(__xludf.DUMMYFUNCTION("""COMPUTED_VALUE"""),"遊佐")</f>
        <v>遊佐</v>
      </c>
      <c r="E111" s="35" t="str">
        <f>IFERROR(__xludf.DUMMYFUNCTION("""COMPUTED_VALUE"""),"シングルモルト")</f>
        <v>シングルモルト</v>
      </c>
      <c r="F111" s="35"/>
      <c r="G111" s="35" t="str">
        <f>IFERROR(__xludf.DUMMYFUNCTION("""COMPUTED_VALUE"""),"遊佐 ファーストエディション 2022")</f>
        <v>遊佐 ファーストエディション 2022</v>
      </c>
      <c r="H111" s="35"/>
      <c r="I111" s="35"/>
      <c r="J111" s="34"/>
      <c r="K111" s="34"/>
      <c r="L111" s="35"/>
      <c r="M111" s="35"/>
      <c r="N111" s="36"/>
      <c r="O111" s="35"/>
      <c r="P111" s="37">
        <f>IFERROR(__xludf.DUMMYFUNCTION("""COMPUTED_VALUE"""),2800.0)</f>
        <v>2800</v>
      </c>
      <c r="Q111" s="37">
        <f>IFERROR(__xludf.DUMMYFUNCTION("""COMPUTED_VALUE"""),1500.0)</f>
        <v>1500</v>
      </c>
      <c r="R111" s="37"/>
      <c r="S111" s="38"/>
      <c r="T111" s="35"/>
      <c r="U111" s="35"/>
      <c r="V111" s="35"/>
      <c r="W111" s="35"/>
      <c r="X111" s="35"/>
      <c r="Y111" s="35"/>
      <c r="Z111" s="35"/>
    </row>
    <row r="112" ht="15.75" customHeight="1">
      <c r="A112" s="35" t="str">
        <f>IFERROR(__xludf.DUMMYFUNCTION("""COMPUTED_VALUE"""),"JP")</f>
        <v>JP</v>
      </c>
      <c r="B112" s="35" t="str">
        <f>IFERROR(__xludf.DUMMYFUNCTION("""COMPUTED_VALUE"""),"金龍")</f>
        <v>金龍</v>
      </c>
      <c r="C112" s="35" t="str">
        <f>IFERROR(__xludf.DUMMYFUNCTION("""COMPUTED_VALUE"""),"金龍")</f>
        <v>金龍</v>
      </c>
      <c r="D112" s="35" t="str">
        <f>IFERROR(__xludf.DUMMYFUNCTION("""COMPUTED_VALUE"""),"遊佐")</f>
        <v>遊佐</v>
      </c>
      <c r="E112" s="35" t="str">
        <f>IFERROR(__xludf.DUMMYFUNCTION("""COMPUTED_VALUE"""),"シングルモルト")</f>
        <v>シングルモルト</v>
      </c>
      <c r="F112" s="35"/>
      <c r="G112" s="35" t="str">
        <f>IFERROR(__xludf.DUMMYFUNCTION("""COMPUTED_VALUE"""),"遊佐 セカンドエディション 2022")</f>
        <v>遊佐 セカンドエディション 2022</v>
      </c>
      <c r="H112" s="35"/>
      <c r="I112" s="35"/>
      <c r="J112" s="34"/>
      <c r="K112" s="34"/>
      <c r="L112" s="35"/>
      <c r="M112" s="35"/>
      <c r="N112" s="36"/>
      <c r="O112" s="35"/>
      <c r="P112" s="37">
        <f>IFERROR(__xludf.DUMMYFUNCTION("""COMPUTED_VALUE"""),2800.0)</f>
        <v>2800</v>
      </c>
      <c r="Q112" s="37">
        <f>IFERROR(__xludf.DUMMYFUNCTION("""COMPUTED_VALUE"""),1500.0)</f>
        <v>1500</v>
      </c>
      <c r="R112" s="37"/>
      <c r="S112" s="38"/>
      <c r="T112" s="35"/>
      <c r="U112" s="35"/>
      <c r="V112" s="35"/>
      <c r="W112" s="35"/>
      <c r="X112" s="35"/>
      <c r="Y112" s="35"/>
      <c r="Z112" s="35"/>
    </row>
    <row r="113" ht="15.75" customHeight="1">
      <c r="A113" s="35" t="str">
        <f>IFERROR(__xludf.DUMMYFUNCTION("""COMPUTED_VALUE"""),"JP")</f>
        <v>JP</v>
      </c>
      <c r="B113" s="35" t="str">
        <f>IFERROR(__xludf.DUMMYFUNCTION("""COMPUTED_VALUE"""),"堅展実業")</f>
        <v>堅展実業</v>
      </c>
      <c r="C113" s="35" t="str">
        <f>IFERROR(__xludf.DUMMYFUNCTION("""COMPUTED_VALUE"""),"堅展実業")</f>
        <v>堅展実業</v>
      </c>
      <c r="D113" s="35" t="str">
        <f>IFERROR(__xludf.DUMMYFUNCTION("""COMPUTED_VALUE"""),"厚岸")</f>
        <v>厚岸</v>
      </c>
      <c r="E113" s="35" t="str">
        <f>IFERROR(__xludf.DUMMYFUNCTION("""COMPUTED_VALUE"""),"シングルモルト")</f>
        <v>シングルモルト</v>
      </c>
      <c r="F113" s="35"/>
      <c r="G113" s="35" t="str">
        <f>IFERROR(__xludf.DUMMYFUNCTION("""COMPUTED_VALUE"""),"厚岸 サロルンカムイ")</f>
        <v>厚岸 サロルンカムイ</v>
      </c>
      <c r="H113" s="35"/>
      <c r="I113" s="35"/>
      <c r="J113" s="34"/>
      <c r="K113" s="34"/>
      <c r="L113" s="35"/>
      <c r="M113" s="35"/>
      <c r="N113" s="36"/>
      <c r="O113" s="35"/>
      <c r="P113" s="37">
        <f>IFERROR(__xludf.DUMMYFUNCTION("""COMPUTED_VALUE"""),3000.0)</f>
        <v>3000</v>
      </c>
      <c r="Q113" s="37">
        <f>IFERROR(__xludf.DUMMYFUNCTION("""COMPUTED_VALUE"""),1600.0)</f>
        <v>1600</v>
      </c>
      <c r="R113" s="37"/>
      <c r="S113" s="38"/>
      <c r="T113" s="35"/>
      <c r="U113" s="35"/>
      <c r="V113" s="35"/>
      <c r="W113" s="35"/>
      <c r="X113" s="35"/>
      <c r="Y113" s="35"/>
      <c r="Z113" s="35"/>
    </row>
    <row r="114" ht="15.75" customHeight="1">
      <c r="A114" s="35" t="str">
        <f>IFERROR(__xludf.DUMMYFUNCTION("""COMPUTED_VALUE"""),"JP")</f>
        <v>JP</v>
      </c>
      <c r="B114" s="35" t="str">
        <f>IFERROR(__xludf.DUMMYFUNCTION("""COMPUTED_VALUE"""),"堅展実業")</f>
        <v>堅展実業</v>
      </c>
      <c r="C114" s="35" t="str">
        <f>IFERROR(__xludf.DUMMYFUNCTION("""COMPUTED_VALUE"""),"堅展実業")</f>
        <v>堅展実業</v>
      </c>
      <c r="D114" s="35" t="str">
        <f>IFERROR(__xludf.DUMMYFUNCTION("""COMPUTED_VALUE"""),"厚岸")</f>
        <v>厚岸</v>
      </c>
      <c r="E114" s="35" t="str">
        <f>IFERROR(__xludf.DUMMYFUNCTION("""COMPUTED_VALUE"""),"シングルモルト")</f>
        <v>シングルモルト</v>
      </c>
      <c r="F114" s="35"/>
      <c r="G114" s="35" t="str">
        <f>IFERROR(__xludf.DUMMYFUNCTION("""COMPUTED_VALUE"""),"厚岸 #7 清明")</f>
        <v>厚岸 #7 清明</v>
      </c>
      <c r="H114" s="35" t="str">
        <f>IFERROR(__xludf.DUMMYFUNCTION("""COMPUTED_VALUE"""),"二十四節季シリーズ")</f>
        <v>二十四節季シリーズ</v>
      </c>
      <c r="I114" s="35"/>
      <c r="J114" s="34"/>
      <c r="K114" s="34"/>
      <c r="L114" s="35"/>
      <c r="M114" s="35"/>
      <c r="N114" s="36"/>
      <c r="O114" s="35"/>
      <c r="P114" s="37">
        <f>IFERROR(__xludf.DUMMYFUNCTION("""COMPUTED_VALUE"""),3000.0)</f>
        <v>3000</v>
      </c>
      <c r="Q114" s="37">
        <f>IFERROR(__xludf.DUMMYFUNCTION("""COMPUTED_VALUE"""),1600.0)</f>
        <v>1600</v>
      </c>
      <c r="R114" s="37"/>
      <c r="S114" s="38"/>
      <c r="T114" s="35"/>
      <c r="U114" s="35"/>
      <c r="V114" s="35"/>
      <c r="W114" s="35"/>
      <c r="X114" s="35"/>
      <c r="Y114" s="35"/>
      <c r="Z114" s="35"/>
    </row>
    <row r="115" ht="15.75" customHeight="1">
      <c r="A115" s="35" t="str">
        <f>IFERROR(__xludf.DUMMYFUNCTION("""COMPUTED_VALUE"""),"JP")</f>
        <v>JP</v>
      </c>
      <c r="B115" s="35" t="str">
        <f>IFERROR(__xludf.DUMMYFUNCTION("""COMPUTED_VALUE"""),"堅展実業")</f>
        <v>堅展実業</v>
      </c>
      <c r="C115" s="35" t="str">
        <f>IFERROR(__xludf.DUMMYFUNCTION("""COMPUTED_VALUE"""),"堅展実業")</f>
        <v>堅展実業</v>
      </c>
      <c r="D115" s="35" t="str">
        <f>IFERROR(__xludf.DUMMYFUNCTION("""COMPUTED_VALUE"""),"厚岸")</f>
        <v>厚岸</v>
      </c>
      <c r="E115" s="35" t="str">
        <f>IFERROR(__xludf.DUMMYFUNCTION("""COMPUTED_VALUE"""),"シングルモルト")</f>
        <v>シングルモルト</v>
      </c>
      <c r="F115" s="35"/>
      <c r="G115" s="35" t="str">
        <f>IFERROR(__xludf.DUMMYFUNCTION("""COMPUTED_VALUE"""),"厚岸 #9 大雪")</f>
        <v>厚岸 #9 大雪</v>
      </c>
      <c r="H115" s="35" t="str">
        <f>IFERROR(__xludf.DUMMYFUNCTION("""COMPUTED_VALUE"""),"二十四節季シリーズ")</f>
        <v>二十四節季シリーズ</v>
      </c>
      <c r="I115" s="35"/>
      <c r="J115" s="34"/>
      <c r="K115" s="34"/>
      <c r="L115" s="35"/>
      <c r="M115" s="35"/>
      <c r="N115" s="36"/>
      <c r="O115" s="35"/>
      <c r="P115" s="37">
        <f>IFERROR(__xludf.DUMMYFUNCTION("""COMPUTED_VALUE"""),3000.0)</f>
        <v>3000</v>
      </c>
      <c r="Q115" s="37">
        <f>IFERROR(__xludf.DUMMYFUNCTION("""COMPUTED_VALUE"""),1600.0)</f>
        <v>1600</v>
      </c>
      <c r="R115" s="37"/>
      <c r="S115" s="38">
        <f>IFERROR(__xludf.DUMMYFUNCTION("""COMPUTED_VALUE"""),44898.0)</f>
        <v>44898</v>
      </c>
      <c r="T115" s="35"/>
      <c r="U115" s="35"/>
      <c r="V115" s="35"/>
      <c r="W115" s="35"/>
      <c r="X115" s="35"/>
      <c r="Y115" s="35"/>
      <c r="Z115" s="35"/>
    </row>
    <row r="116" ht="15.75" customHeight="1">
      <c r="A116" s="35" t="str">
        <f>IFERROR(__xludf.DUMMYFUNCTION("""COMPUTED_VALUE"""),"JP")</f>
        <v>JP</v>
      </c>
      <c r="B116" s="35" t="str">
        <f>IFERROR(__xludf.DUMMYFUNCTION("""COMPUTED_VALUE"""),"堅展実業")</f>
        <v>堅展実業</v>
      </c>
      <c r="C116" s="35" t="str">
        <f>IFERROR(__xludf.DUMMYFUNCTION("""COMPUTED_VALUE"""),"堅展実業")</f>
        <v>堅展実業</v>
      </c>
      <c r="D116" s="35" t="str">
        <f>IFERROR(__xludf.DUMMYFUNCTION("""COMPUTED_VALUE"""),"厚岸")</f>
        <v>厚岸</v>
      </c>
      <c r="E116" s="35" t="str">
        <f>IFERROR(__xludf.DUMMYFUNCTION("""COMPUTED_VALUE"""),"シングルモルト")</f>
        <v>シングルモルト</v>
      </c>
      <c r="F116" s="35"/>
      <c r="G116" s="35" t="str">
        <f>IFERROR(__xludf.DUMMYFUNCTION("""COMPUTED_VALUE"""),"厚岸 #10 啓蟄")</f>
        <v>厚岸 #10 啓蟄</v>
      </c>
      <c r="H116" s="35" t="str">
        <f>IFERROR(__xludf.DUMMYFUNCTION("""COMPUTED_VALUE"""),"二十四節季シリーズ")</f>
        <v>二十四節季シリーズ</v>
      </c>
      <c r="I116" s="35"/>
      <c r="J116" s="34"/>
      <c r="K116" s="34"/>
      <c r="L116" s="35"/>
      <c r="M116" s="35"/>
      <c r="N116" s="36"/>
      <c r="O116" s="35"/>
      <c r="P116" s="37">
        <f>IFERROR(__xludf.DUMMYFUNCTION("""COMPUTED_VALUE"""),3000.0)</f>
        <v>3000</v>
      </c>
      <c r="Q116" s="37">
        <f>IFERROR(__xludf.DUMMYFUNCTION("""COMPUTED_VALUE"""),1600.0)</f>
        <v>1600</v>
      </c>
      <c r="R116" s="37"/>
      <c r="S116" s="38">
        <f>IFERROR(__xludf.DUMMYFUNCTION("""COMPUTED_VALUE"""),44987.0)</f>
        <v>44987</v>
      </c>
      <c r="T116" s="35"/>
      <c r="U116" s="35"/>
      <c r="V116" s="35"/>
      <c r="W116" s="35"/>
      <c r="X116" s="35"/>
      <c r="Y116" s="35"/>
      <c r="Z116" s="35"/>
    </row>
    <row r="117" ht="15.75" customHeight="1">
      <c r="A117" s="35" t="str">
        <f>IFERROR(__xludf.DUMMYFUNCTION("""COMPUTED_VALUE"""),"JP")</f>
        <v>JP</v>
      </c>
      <c r="B117" s="35" t="str">
        <f>IFERROR(__xludf.DUMMYFUNCTION("""COMPUTED_VALUE"""),"堅展実業")</f>
        <v>堅展実業</v>
      </c>
      <c r="C117" s="35" t="str">
        <f>IFERROR(__xludf.DUMMYFUNCTION("""COMPUTED_VALUE"""),"堅展実業")</f>
        <v>堅展実業</v>
      </c>
      <c r="D117" s="35" t="str">
        <f>IFERROR(__xludf.DUMMYFUNCTION("""COMPUTED_VALUE"""),"厚岸")</f>
        <v>厚岸</v>
      </c>
      <c r="E117" s="35" t="str">
        <f>IFERROR(__xludf.DUMMYFUNCTION("""COMPUTED_VALUE"""),"シングルモルト")</f>
        <v>シングルモルト</v>
      </c>
      <c r="F117" s="35"/>
      <c r="G117" s="35" t="str">
        <f>IFERROR(__xludf.DUMMYFUNCTION("""COMPUTED_VALUE"""),"厚岸 #12 白露")</f>
        <v>厚岸 #12 白露</v>
      </c>
      <c r="H117" s="35" t="str">
        <f>IFERROR(__xludf.DUMMYFUNCTION("""COMPUTED_VALUE"""),"二十四節季シリーズ")</f>
        <v>二十四節季シリーズ</v>
      </c>
      <c r="I117" s="35"/>
      <c r="J117" s="34"/>
      <c r="K117" s="34"/>
      <c r="L117" s="35"/>
      <c r="M117" s="35"/>
      <c r="N117" s="36"/>
      <c r="O117" s="35"/>
      <c r="P117" s="37">
        <f>IFERROR(__xludf.DUMMYFUNCTION("""COMPUTED_VALUE"""),3000.0)</f>
        <v>3000</v>
      </c>
      <c r="Q117" s="37">
        <f>IFERROR(__xludf.DUMMYFUNCTION("""COMPUTED_VALUE"""),1600.0)</f>
        <v>1600</v>
      </c>
      <c r="R117" s="37"/>
      <c r="S117" s="38">
        <f>IFERROR(__xludf.DUMMYFUNCTION("""COMPUTED_VALUE"""),45169.0)</f>
        <v>45169</v>
      </c>
      <c r="T117" s="35"/>
      <c r="U117" s="35"/>
      <c r="V117" s="35"/>
      <c r="W117" s="35"/>
      <c r="X117" s="35"/>
      <c r="Y117" s="35"/>
      <c r="Z117" s="35"/>
    </row>
    <row r="118" ht="15.75" customHeight="1">
      <c r="A118" s="35" t="str">
        <f>IFERROR(__xludf.DUMMYFUNCTION("""COMPUTED_VALUE"""),"JP")</f>
        <v>JP</v>
      </c>
      <c r="B118" s="35" t="str">
        <f>IFERROR(__xludf.DUMMYFUNCTION("""COMPUTED_VALUE"""),"堅展実業")</f>
        <v>堅展実業</v>
      </c>
      <c r="C118" s="35" t="str">
        <f>IFERROR(__xludf.DUMMYFUNCTION("""COMPUTED_VALUE"""),"堅展実業")</f>
        <v>堅展実業</v>
      </c>
      <c r="D118" s="35" t="str">
        <f>IFERROR(__xludf.DUMMYFUNCTION("""COMPUTED_VALUE"""),"厚岸")</f>
        <v>厚岸</v>
      </c>
      <c r="E118" s="35" t="str">
        <f>IFERROR(__xludf.DUMMYFUNCTION("""COMPUTED_VALUE"""),"シングルモルト")</f>
        <v>シングルモルト</v>
      </c>
      <c r="F118" s="35"/>
      <c r="G118" s="35" t="str">
        <f>IFERROR(__xludf.DUMMYFUNCTION("""COMPUTED_VALUE"""),"厚岸 #14 立春")</f>
        <v>厚岸 #14 立春</v>
      </c>
      <c r="H118" s="35" t="str">
        <f>IFERROR(__xludf.DUMMYFUNCTION("""COMPUTED_VALUE"""),"二十四節季シリーズ")</f>
        <v>二十四節季シリーズ</v>
      </c>
      <c r="I118" s="35"/>
      <c r="J118" s="34"/>
      <c r="K118" s="34"/>
      <c r="L118" s="35"/>
      <c r="M118" s="35"/>
      <c r="N118" s="36"/>
      <c r="O118" s="35"/>
      <c r="P118" s="37">
        <f>IFERROR(__xludf.DUMMYFUNCTION("""COMPUTED_VALUE"""),3000.0)</f>
        <v>3000</v>
      </c>
      <c r="Q118" s="37">
        <f>IFERROR(__xludf.DUMMYFUNCTION("""COMPUTED_VALUE"""),1600.0)</f>
        <v>1600</v>
      </c>
      <c r="R118" s="37"/>
      <c r="S118" s="38">
        <f>IFERROR(__xludf.DUMMYFUNCTION("""COMPUTED_VALUE"""),45357.0)</f>
        <v>45357</v>
      </c>
      <c r="T118" s="35"/>
      <c r="U118" s="35"/>
      <c r="V118" s="35"/>
      <c r="W118" s="35"/>
      <c r="X118" s="35"/>
      <c r="Y118" s="35"/>
      <c r="Z118" s="35"/>
    </row>
    <row r="119" ht="15.75" customHeight="1">
      <c r="A119" s="35" t="str">
        <f>IFERROR(__xludf.DUMMYFUNCTION("""COMPUTED_VALUE"""),"JP")</f>
        <v>JP</v>
      </c>
      <c r="B119" s="35" t="str">
        <f>IFERROR(__xludf.DUMMYFUNCTION("""COMPUTED_VALUE"""),"堅展実業")</f>
        <v>堅展実業</v>
      </c>
      <c r="C119" s="35" t="str">
        <f>IFERROR(__xludf.DUMMYFUNCTION("""COMPUTED_VALUE"""),"堅展実業")</f>
        <v>堅展実業</v>
      </c>
      <c r="D119" s="35" t="str">
        <f>IFERROR(__xludf.DUMMYFUNCTION("""COMPUTED_VALUE"""),"厚岸")</f>
        <v>厚岸</v>
      </c>
      <c r="E119" s="35" t="str">
        <f>IFERROR(__xludf.DUMMYFUNCTION("""COMPUTED_VALUE"""),"シングルモルト")</f>
        <v>シングルモルト</v>
      </c>
      <c r="F119" s="35"/>
      <c r="G119" s="35" t="str">
        <f>IFERROR(__xludf.DUMMYFUNCTION("""COMPUTED_VALUE"""),"厚岸 #16 小暑")</f>
        <v>厚岸 #16 小暑</v>
      </c>
      <c r="H119" s="35" t="str">
        <f>IFERROR(__xludf.DUMMYFUNCTION("""COMPUTED_VALUE"""),"二十四節季シリーズ")</f>
        <v>二十四節季シリーズ</v>
      </c>
      <c r="I119" s="35"/>
      <c r="J119" s="34"/>
      <c r="K119" s="34"/>
      <c r="L119" s="35"/>
      <c r="M119" s="35"/>
      <c r="N119" s="36"/>
      <c r="O119" s="35"/>
      <c r="P119" s="37">
        <f>IFERROR(__xludf.DUMMYFUNCTION("""COMPUTED_VALUE"""),3000.0)</f>
        <v>3000</v>
      </c>
      <c r="Q119" s="37">
        <f>IFERROR(__xludf.DUMMYFUNCTION("""COMPUTED_VALUE"""),1600.0)</f>
        <v>1600</v>
      </c>
      <c r="R119" s="37"/>
      <c r="S119" s="38">
        <f>IFERROR(__xludf.DUMMYFUNCTION("""COMPUTED_VALUE"""),45539.0)</f>
        <v>45539</v>
      </c>
      <c r="T119" s="35"/>
      <c r="U119" s="35"/>
      <c r="V119" s="35"/>
      <c r="W119" s="35"/>
      <c r="X119" s="35"/>
      <c r="Y119" s="35"/>
      <c r="Z119" s="35"/>
    </row>
    <row r="120" ht="15.75" customHeight="1">
      <c r="A120" s="35" t="str">
        <f>IFERROR(__xludf.DUMMYFUNCTION("""COMPUTED_VALUE"""),"JP")</f>
        <v>JP</v>
      </c>
      <c r="B120" s="35" t="str">
        <f>IFERROR(__xludf.DUMMYFUNCTION("""COMPUTED_VALUE"""),"堅展実業")</f>
        <v>堅展実業</v>
      </c>
      <c r="C120" s="35" t="str">
        <f>IFERROR(__xludf.DUMMYFUNCTION("""COMPUTED_VALUE"""),"堅展実業")</f>
        <v>堅展実業</v>
      </c>
      <c r="D120" s="35" t="str">
        <f>IFERROR(__xludf.DUMMYFUNCTION("""COMPUTED_VALUE"""),"厚岸")</f>
        <v>厚岸</v>
      </c>
      <c r="E120" s="35" t="str">
        <f>IFERROR(__xludf.DUMMYFUNCTION("""COMPUTED_VALUE"""),"シングルモルト")</f>
        <v>シングルモルト</v>
      </c>
      <c r="F120" s="35"/>
      <c r="G120" s="35" t="str">
        <f>IFERROR(__xludf.DUMMYFUNCTION("""COMPUTED_VALUE"""),"厚岸 #19 立夏")</f>
        <v>厚岸 #19 立夏</v>
      </c>
      <c r="H120" s="35" t="str">
        <f>IFERROR(__xludf.DUMMYFUNCTION("""COMPUTED_VALUE"""),"二十四節季シリーズ")</f>
        <v>二十四節季シリーズ</v>
      </c>
      <c r="I120" s="35"/>
      <c r="J120" s="34"/>
      <c r="K120" s="34"/>
      <c r="L120" s="35"/>
      <c r="M120" s="35"/>
      <c r="N120" s="36"/>
      <c r="O120" s="35"/>
      <c r="P120" s="37">
        <f>IFERROR(__xludf.DUMMYFUNCTION("""COMPUTED_VALUE"""),3000.0)</f>
        <v>3000</v>
      </c>
      <c r="Q120" s="37">
        <f>IFERROR(__xludf.DUMMYFUNCTION("""COMPUTED_VALUE"""),1600.0)</f>
        <v>1600</v>
      </c>
      <c r="R120" s="37"/>
      <c r="S120" s="38"/>
      <c r="T120" s="35"/>
      <c r="U120" s="35"/>
      <c r="V120" s="35"/>
      <c r="W120" s="35"/>
      <c r="X120" s="35"/>
      <c r="Y120" s="35"/>
      <c r="Z120" s="35"/>
    </row>
    <row r="121" ht="15.75" customHeight="1">
      <c r="A121" s="35" t="str">
        <f>IFERROR(__xludf.DUMMYFUNCTION("""COMPUTED_VALUE"""),"JP")</f>
        <v>JP</v>
      </c>
      <c r="B121" s="35" t="str">
        <f>IFERROR(__xludf.DUMMYFUNCTION("""COMPUTED_VALUE"""),"堅展実業")</f>
        <v>堅展実業</v>
      </c>
      <c r="C121" s="35" t="str">
        <f>IFERROR(__xludf.DUMMYFUNCTION("""COMPUTED_VALUE"""),"堅展実業")</f>
        <v>堅展実業</v>
      </c>
      <c r="D121" s="35" t="str">
        <f>IFERROR(__xludf.DUMMYFUNCTION("""COMPUTED_VALUE"""),"厚岸")</f>
        <v>厚岸</v>
      </c>
      <c r="E121" s="35" t="str">
        <f>IFERROR(__xludf.DUMMYFUNCTION("""COMPUTED_VALUE"""),"シングルモルト")</f>
        <v>シングルモルト</v>
      </c>
      <c r="F121" s="35"/>
      <c r="G121" s="35" t="str">
        <f>IFERROR(__xludf.DUMMYFUNCTION("""COMPUTED_VALUE"""),"厚岸 #20 立秋")</f>
        <v>厚岸 #20 立秋</v>
      </c>
      <c r="H121" s="35" t="str">
        <f>IFERROR(__xludf.DUMMYFUNCTION("""COMPUTED_VALUE"""),"二十四節季シリーズ")</f>
        <v>二十四節季シリーズ</v>
      </c>
      <c r="I121" s="35"/>
      <c r="J121" s="34"/>
      <c r="K121" s="34"/>
      <c r="L121" s="35"/>
      <c r="M121" s="35"/>
      <c r="N121" s="36">
        <f>IFERROR(__xludf.DUMMYFUNCTION("""COMPUTED_VALUE"""),0.55)</f>
        <v>0.55</v>
      </c>
      <c r="O121" s="35"/>
      <c r="P121" s="37">
        <f>IFERROR(__xludf.DUMMYFUNCTION("""COMPUTED_VALUE"""),3000.0)</f>
        <v>3000</v>
      </c>
      <c r="Q121" s="37">
        <f>IFERROR(__xludf.DUMMYFUNCTION("""COMPUTED_VALUE"""),1600.0)</f>
        <v>1600</v>
      </c>
      <c r="R121" s="37"/>
      <c r="S121" s="38">
        <f>IFERROR(__xludf.DUMMYFUNCTION("""COMPUTED_VALUE"""),45903.0)</f>
        <v>45903</v>
      </c>
      <c r="T121" s="35"/>
      <c r="U121" s="35"/>
      <c r="V121" s="35"/>
      <c r="W121" s="35"/>
      <c r="X121" s="35"/>
      <c r="Y121" s="35"/>
      <c r="Z121" s="35"/>
    </row>
    <row r="122" ht="15.75" customHeight="1">
      <c r="A122" s="35" t="str">
        <f>IFERROR(__xludf.DUMMYFUNCTION("""COMPUTED_VALUE"""),"JP")</f>
        <v>JP</v>
      </c>
      <c r="B122" s="35" t="str">
        <f>IFERROR(__xludf.DUMMYFUNCTION("""COMPUTED_VALUE"""),"若鶴")</f>
        <v>若鶴</v>
      </c>
      <c r="C122" s="35" t="str">
        <f>IFERROR(__xludf.DUMMYFUNCTION("""COMPUTED_VALUE"""),"若鶴")</f>
        <v>若鶴</v>
      </c>
      <c r="D122" s="35" t="str">
        <f>IFERROR(__xludf.DUMMYFUNCTION("""COMPUTED_VALUE"""),"三郎丸")</f>
        <v>三郎丸</v>
      </c>
      <c r="E122" s="35" t="str">
        <f>IFERROR(__xludf.DUMMYFUNCTION("""COMPUTED_VALUE"""),"シングルモルト")</f>
        <v>シングルモルト</v>
      </c>
      <c r="F122" s="35"/>
      <c r="G122" s="35" t="str">
        <f>IFERROR(__xludf.DUMMYFUNCTION("""COMPUTED_VALUE"""),"三郎丸 0")</f>
        <v>三郎丸 0</v>
      </c>
      <c r="H122" s="35"/>
      <c r="I122" s="35"/>
      <c r="J122" s="34"/>
      <c r="K122" s="34"/>
      <c r="L122" s="35"/>
      <c r="M122" s="35"/>
      <c r="N122" s="36"/>
      <c r="O122" s="35"/>
      <c r="P122" s="37">
        <f>IFERROR(__xludf.DUMMYFUNCTION("""COMPUTED_VALUE"""),2400.0)</f>
        <v>2400</v>
      </c>
      <c r="Q122" s="37">
        <f>IFERROR(__xludf.DUMMYFUNCTION("""COMPUTED_VALUE"""),1300.0)</f>
        <v>1300</v>
      </c>
      <c r="R122" s="37"/>
      <c r="S122" s="38">
        <f>IFERROR(__xludf.DUMMYFUNCTION("""COMPUTED_VALUE"""),44918.0)</f>
        <v>44918</v>
      </c>
      <c r="T122" s="35"/>
      <c r="U122" s="35"/>
      <c r="V122" s="35"/>
      <c r="W122" s="35"/>
      <c r="X122" s="35"/>
      <c r="Y122" s="35"/>
      <c r="Z122" s="35"/>
    </row>
    <row r="123" ht="15.75" customHeight="1">
      <c r="A123" s="35" t="str">
        <f>IFERROR(__xludf.DUMMYFUNCTION("""COMPUTED_VALUE"""),"JP")</f>
        <v>JP</v>
      </c>
      <c r="B123" s="35" t="str">
        <f>IFERROR(__xludf.DUMMYFUNCTION("""COMPUTED_VALUE"""),"若鶴")</f>
        <v>若鶴</v>
      </c>
      <c r="C123" s="35" t="str">
        <f>IFERROR(__xludf.DUMMYFUNCTION("""COMPUTED_VALUE"""),"若鶴")</f>
        <v>若鶴</v>
      </c>
      <c r="D123" s="35" t="str">
        <f>IFERROR(__xludf.DUMMYFUNCTION("""COMPUTED_VALUE"""),"三郎丸")</f>
        <v>三郎丸</v>
      </c>
      <c r="E123" s="35" t="str">
        <f>IFERROR(__xludf.DUMMYFUNCTION("""COMPUTED_VALUE"""),"シングルモルト")</f>
        <v>シングルモルト</v>
      </c>
      <c r="F123" s="35"/>
      <c r="G123" s="35" t="str">
        <f>IFERROR(__xludf.DUMMYFUNCTION("""COMPUTED_VALUE"""),"三郎丸 1")</f>
        <v>三郎丸 1</v>
      </c>
      <c r="H123" s="35"/>
      <c r="I123" s="35"/>
      <c r="J123" s="34"/>
      <c r="K123" s="34"/>
      <c r="L123" s="35"/>
      <c r="M123" s="35"/>
      <c r="N123" s="36"/>
      <c r="O123" s="35"/>
      <c r="P123" s="37">
        <f>IFERROR(__xludf.DUMMYFUNCTION("""COMPUTED_VALUE"""),2600.0)</f>
        <v>2600</v>
      </c>
      <c r="Q123" s="37">
        <f>IFERROR(__xludf.DUMMYFUNCTION("""COMPUTED_VALUE"""),1400.0)</f>
        <v>1400</v>
      </c>
      <c r="R123" s="37"/>
      <c r="S123" s="38">
        <f>IFERROR(__xludf.DUMMYFUNCTION("""COMPUTED_VALUE"""),44924.0)</f>
        <v>44924</v>
      </c>
      <c r="T123" s="35"/>
      <c r="U123" s="35"/>
      <c r="V123" s="35"/>
      <c r="W123" s="35"/>
      <c r="X123" s="35"/>
      <c r="Y123" s="35"/>
      <c r="Z123" s="35"/>
    </row>
    <row r="124" ht="15.75" customHeight="1">
      <c r="A124" s="35" t="str">
        <f>IFERROR(__xludf.DUMMYFUNCTION("""COMPUTED_VALUE"""),"JP")</f>
        <v>JP</v>
      </c>
      <c r="B124" s="35" t="str">
        <f>IFERROR(__xludf.DUMMYFUNCTION("""COMPUTED_VALUE"""),"若鶴")</f>
        <v>若鶴</v>
      </c>
      <c r="C124" s="35" t="str">
        <f>IFERROR(__xludf.DUMMYFUNCTION("""COMPUTED_VALUE"""),"若鶴")</f>
        <v>若鶴</v>
      </c>
      <c r="D124" s="35" t="str">
        <f>IFERROR(__xludf.DUMMYFUNCTION("""COMPUTED_VALUE"""),"三郎丸")</f>
        <v>三郎丸</v>
      </c>
      <c r="E124" s="35" t="str">
        <f>IFERROR(__xludf.DUMMYFUNCTION("""COMPUTED_VALUE"""),"シングルモルト")</f>
        <v>シングルモルト</v>
      </c>
      <c r="F124" s="35"/>
      <c r="G124" s="35" t="str">
        <f>IFERROR(__xludf.DUMMYFUNCTION("""COMPUTED_VALUE"""),"三郎丸 2")</f>
        <v>三郎丸 2</v>
      </c>
      <c r="H124" s="35"/>
      <c r="I124" s="35"/>
      <c r="J124" s="34"/>
      <c r="K124" s="34"/>
      <c r="L124" s="35"/>
      <c r="M124" s="35"/>
      <c r="N124" s="36"/>
      <c r="O124" s="35"/>
      <c r="P124" s="37">
        <f>IFERROR(__xludf.DUMMYFUNCTION("""COMPUTED_VALUE"""),2800.0)</f>
        <v>2800</v>
      </c>
      <c r="Q124" s="37">
        <f>IFERROR(__xludf.DUMMYFUNCTION("""COMPUTED_VALUE"""),1500.0)</f>
        <v>1500</v>
      </c>
      <c r="R124" s="37"/>
      <c r="S124" s="38">
        <f>IFERROR(__xludf.DUMMYFUNCTION("""COMPUTED_VALUE"""),44935.0)</f>
        <v>44935</v>
      </c>
      <c r="T124" s="35"/>
      <c r="U124" s="35"/>
      <c r="V124" s="35"/>
      <c r="W124" s="35"/>
      <c r="X124" s="35"/>
      <c r="Y124" s="35"/>
      <c r="Z124" s="35"/>
    </row>
    <row r="125" ht="15.75" customHeight="1">
      <c r="A125" s="35" t="str">
        <f>IFERROR(__xludf.DUMMYFUNCTION("""COMPUTED_VALUE"""),"JP")</f>
        <v>JP</v>
      </c>
      <c r="B125" s="35" t="str">
        <f>IFERROR(__xludf.DUMMYFUNCTION("""COMPUTED_VALUE"""),"小正嘉之助")</f>
        <v>小正嘉之助</v>
      </c>
      <c r="C125" s="35" t="str">
        <f>IFERROR(__xludf.DUMMYFUNCTION("""COMPUTED_VALUE"""),"小正嘉之助")</f>
        <v>小正嘉之助</v>
      </c>
      <c r="D125" s="35" t="str">
        <f>IFERROR(__xludf.DUMMYFUNCTION("""COMPUTED_VALUE"""),"嘉之助")</f>
        <v>嘉之助</v>
      </c>
      <c r="E125" s="35" t="str">
        <f>IFERROR(__xludf.DUMMYFUNCTION("""COMPUTED_VALUE"""),"シングルモルト")</f>
        <v>シングルモルト</v>
      </c>
      <c r="F125" s="35"/>
      <c r="G125" s="35" t="str">
        <f>IFERROR(__xludf.DUMMYFUNCTION("""COMPUTED_VALUE"""),"嘉之助")</f>
        <v>嘉之助</v>
      </c>
      <c r="H125" s="35"/>
      <c r="I125" s="35"/>
      <c r="J125" s="34"/>
      <c r="K125" s="34"/>
      <c r="L125" s="35" t="str">
        <f>IFERROR(__xludf.DUMMYFUNCTION("""COMPUTED_VALUE"""),"✓")</f>
        <v>✓</v>
      </c>
      <c r="M125" s="35"/>
      <c r="N125" s="36"/>
      <c r="O125" s="35"/>
      <c r="P125" s="37">
        <f>IFERROR(__xludf.DUMMYFUNCTION("""COMPUTED_VALUE"""),1600.0)</f>
        <v>1600</v>
      </c>
      <c r="Q125" s="37">
        <f>IFERROR(__xludf.DUMMYFUNCTION("""COMPUTED_VALUE"""),900.0)</f>
        <v>900</v>
      </c>
      <c r="R125" s="37"/>
      <c r="S125" s="38">
        <f>IFERROR(__xludf.DUMMYFUNCTION("""COMPUTED_VALUE"""),44984.0)</f>
        <v>44984</v>
      </c>
      <c r="T125" s="35"/>
      <c r="U125" s="35"/>
      <c r="V125" s="35"/>
      <c r="W125" s="35"/>
      <c r="X125" s="35"/>
      <c r="Y125" s="35"/>
      <c r="Z125" s="35"/>
    </row>
    <row r="126" ht="15.75" customHeight="1">
      <c r="A126" s="35" t="str">
        <f>IFERROR(__xludf.DUMMYFUNCTION("""COMPUTED_VALUE"""),"JP")</f>
        <v>JP</v>
      </c>
      <c r="B126" s="35" t="str">
        <f>IFERROR(__xludf.DUMMYFUNCTION("""COMPUTED_VALUE"""),"小正嘉之助")</f>
        <v>小正嘉之助</v>
      </c>
      <c r="C126" s="35" t="str">
        <f>IFERROR(__xludf.DUMMYFUNCTION("""COMPUTED_VALUE"""),"小正嘉之助")</f>
        <v>小正嘉之助</v>
      </c>
      <c r="D126" s="35" t="str">
        <f>IFERROR(__xludf.DUMMYFUNCTION("""COMPUTED_VALUE"""),"嘉之助")</f>
        <v>嘉之助</v>
      </c>
      <c r="E126" s="35" t="str">
        <f>IFERROR(__xludf.DUMMYFUNCTION("""COMPUTED_VALUE"""),"シングルモルト")</f>
        <v>シングルモルト</v>
      </c>
      <c r="F126" s="35"/>
      <c r="G126" s="35" t="str">
        <f>IFERROR(__xludf.DUMMYFUNCTION("""COMPUTED_VALUE"""),"嘉之介 2021 ファーストエディション")</f>
        <v>嘉之介 2021 ファーストエディション</v>
      </c>
      <c r="H126" s="35"/>
      <c r="I126" s="35"/>
      <c r="J126" s="34"/>
      <c r="K126" s="34"/>
      <c r="L126" s="35"/>
      <c r="M126" s="35"/>
      <c r="N126" s="36"/>
      <c r="O126" s="35"/>
      <c r="P126" s="37">
        <f>IFERROR(__xludf.DUMMYFUNCTION("""COMPUTED_VALUE"""),2600.0)</f>
        <v>2600</v>
      </c>
      <c r="Q126" s="37">
        <f>IFERROR(__xludf.DUMMYFUNCTION("""COMPUTED_VALUE"""),1400.0)</f>
        <v>1400</v>
      </c>
      <c r="R126" s="37"/>
      <c r="S126" s="38"/>
      <c r="T126" s="35"/>
      <c r="U126" s="35"/>
      <c r="V126" s="35"/>
      <c r="W126" s="35"/>
      <c r="X126" s="35"/>
      <c r="Y126" s="35"/>
      <c r="Z126" s="35"/>
    </row>
    <row r="127" ht="15.75" customHeight="1">
      <c r="A127" s="35" t="str">
        <f>IFERROR(__xludf.DUMMYFUNCTION("""COMPUTED_VALUE"""),"JP")</f>
        <v>JP</v>
      </c>
      <c r="B127" s="35" t="str">
        <f>IFERROR(__xludf.DUMMYFUNCTION("""COMPUTED_VALUE"""),"小正嘉之助")</f>
        <v>小正嘉之助</v>
      </c>
      <c r="C127" s="35" t="str">
        <f>IFERROR(__xludf.DUMMYFUNCTION("""COMPUTED_VALUE"""),"小正嘉之助")</f>
        <v>小正嘉之助</v>
      </c>
      <c r="D127" s="35" t="str">
        <f>IFERROR(__xludf.DUMMYFUNCTION("""COMPUTED_VALUE"""),"嘉之助")</f>
        <v>嘉之助</v>
      </c>
      <c r="E127" s="35" t="str">
        <f>IFERROR(__xludf.DUMMYFUNCTION("""COMPUTED_VALUE"""),"シングルモルト")</f>
        <v>シングルモルト</v>
      </c>
      <c r="F127" s="35"/>
      <c r="G127" s="35" t="str">
        <f>IFERROR(__xludf.DUMMYFUNCTION("""COMPUTED_VALUE"""),"嘉之介 2021 セカンドエディション")</f>
        <v>嘉之介 2021 セカンドエディション</v>
      </c>
      <c r="H127" s="35"/>
      <c r="I127" s="35"/>
      <c r="J127" s="34"/>
      <c r="K127" s="34"/>
      <c r="L127" s="35"/>
      <c r="M127" s="35"/>
      <c r="N127" s="36"/>
      <c r="O127" s="35"/>
      <c r="P127" s="37">
        <f>IFERROR(__xludf.DUMMYFUNCTION("""COMPUTED_VALUE"""),2600.0)</f>
        <v>2600</v>
      </c>
      <c r="Q127" s="37">
        <f>IFERROR(__xludf.DUMMYFUNCTION("""COMPUTED_VALUE"""),1400.0)</f>
        <v>1400</v>
      </c>
      <c r="R127" s="37"/>
      <c r="S127" s="38"/>
      <c r="T127" s="35"/>
      <c r="U127" s="35"/>
      <c r="V127" s="35"/>
      <c r="W127" s="35"/>
      <c r="X127" s="35"/>
      <c r="Y127" s="35"/>
      <c r="Z127" s="35"/>
    </row>
    <row r="128" ht="15.75" customHeight="1">
      <c r="A128" s="35" t="str">
        <f>IFERROR(__xludf.DUMMYFUNCTION("""COMPUTED_VALUE"""),"JP")</f>
        <v>JP</v>
      </c>
      <c r="B128" s="35" t="str">
        <f>IFERROR(__xludf.DUMMYFUNCTION("""COMPUTED_VALUE"""),"小正嘉之助")</f>
        <v>小正嘉之助</v>
      </c>
      <c r="C128" s="35" t="str">
        <f>IFERROR(__xludf.DUMMYFUNCTION("""COMPUTED_VALUE"""),"小正嘉之助")</f>
        <v>小正嘉之助</v>
      </c>
      <c r="D128" s="35" t="str">
        <f>IFERROR(__xludf.DUMMYFUNCTION("""COMPUTED_VALUE"""),"嘉之助")</f>
        <v>嘉之助</v>
      </c>
      <c r="E128" s="35" t="str">
        <f>IFERROR(__xludf.DUMMYFUNCTION("""COMPUTED_VALUE"""),"シングルモルト")</f>
        <v>シングルモルト</v>
      </c>
      <c r="F128" s="35"/>
      <c r="G128" s="35" t="str">
        <f>IFERROR(__xludf.DUMMYFUNCTION("""COMPUTED_VALUE"""),"嘉之助 2022 リミテッドエディション")</f>
        <v>嘉之助 2022 リミテッドエディション</v>
      </c>
      <c r="H128" s="35"/>
      <c r="I128" s="35"/>
      <c r="J128" s="34"/>
      <c r="K128" s="34"/>
      <c r="L128" s="35"/>
      <c r="M128" s="35"/>
      <c r="N128" s="36"/>
      <c r="O128" s="35"/>
      <c r="P128" s="37">
        <f>IFERROR(__xludf.DUMMYFUNCTION("""COMPUTED_VALUE"""),2600.0)</f>
        <v>2600</v>
      </c>
      <c r="Q128" s="37">
        <f>IFERROR(__xludf.DUMMYFUNCTION("""COMPUTED_VALUE"""),1400.0)</f>
        <v>1400</v>
      </c>
      <c r="R128" s="37"/>
      <c r="S128" s="38"/>
      <c r="T128" s="35"/>
      <c r="U128" s="35"/>
      <c r="V128" s="35"/>
      <c r="W128" s="35"/>
      <c r="X128" s="35"/>
      <c r="Y128" s="35"/>
      <c r="Z128" s="35"/>
    </row>
    <row r="129" ht="15.75" customHeight="1">
      <c r="A129" s="35" t="str">
        <f>IFERROR(__xludf.DUMMYFUNCTION("""COMPUTED_VALUE"""),"JP")</f>
        <v>JP</v>
      </c>
      <c r="B129" s="35" t="str">
        <f>IFERROR(__xludf.DUMMYFUNCTION("""COMPUTED_VALUE"""),"江井ヶ嶋")</f>
        <v>江井ヶ嶋</v>
      </c>
      <c r="C129" s="35" t="str">
        <f>IFERROR(__xludf.DUMMYFUNCTION("""COMPUTED_VALUE"""),"江井ヶ嶋")</f>
        <v>江井ヶ嶋</v>
      </c>
      <c r="D129" s="35" t="str">
        <f>IFERROR(__xludf.DUMMYFUNCTION("""COMPUTED_VALUE"""),"江井ヶ嶋")</f>
        <v>江井ヶ嶋</v>
      </c>
      <c r="E129" s="35" t="str">
        <f>IFERROR(__xludf.DUMMYFUNCTION("""COMPUTED_VALUE"""),"シングルモルト")</f>
        <v>シングルモルト</v>
      </c>
      <c r="F129" s="35"/>
      <c r="G129" s="35" t="str">
        <f>IFERROR(__xludf.DUMMYFUNCTION("""COMPUTED_VALUE"""),"あかし")</f>
        <v>あかし</v>
      </c>
      <c r="H129" s="35"/>
      <c r="I129" s="35"/>
      <c r="J129" s="34"/>
      <c r="K129" s="34"/>
      <c r="L129" s="35" t="str">
        <f>IFERROR(__xludf.DUMMYFUNCTION("""COMPUTED_VALUE"""),"✓")</f>
        <v>✓</v>
      </c>
      <c r="M129" s="35"/>
      <c r="N129" s="36"/>
      <c r="O129" s="35"/>
      <c r="P129" s="37">
        <f>IFERROR(__xludf.DUMMYFUNCTION("""COMPUTED_VALUE"""),1200.0)</f>
        <v>1200</v>
      </c>
      <c r="Q129" s="37">
        <f>IFERROR(__xludf.DUMMYFUNCTION("""COMPUTED_VALUE"""),700.0)</f>
        <v>700</v>
      </c>
      <c r="R129" s="37"/>
      <c r="S129" s="38">
        <f>IFERROR(__xludf.DUMMYFUNCTION("""COMPUTED_VALUE"""),45741.0)</f>
        <v>45741</v>
      </c>
      <c r="T129" s="35"/>
      <c r="U129" s="35"/>
      <c r="V129" s="35"/>
      <c r="W129" s="35"/>
      <c r="X129" s="35"/>
      <c r="Y129" s="35"/>
      <c r="Z129" s="35"/>
    </row>
    <row r="130" ht="15.75" customHeight="1">
      <c r="A130" s="35" t="str">
        <f>IFERROR(__xludf.DUMMYFUNCTION("""COMPUTED_VALUE"""),"JP")</f>
        <v>JP</v>
      </c>
      <c r="B130" s="35" t="str">
        <f>IFERROR(__xludf.DUMMYFUNCTION("""COMPUTED_VALUE"""),"江井ヶ嶋")</f>
        <v>江井ヶ嶋</v>
      </c>
      <c r="C130" s="35" t="str">
        <f>IFERROR(__xludf.DUMMYFUNCTION("""COMPUTED_VALUE"""),"江井ヶ嶋")</f>
        <v>江井ヶ嶋</v>
      </c>
      <c r="D130" s="35" t="str">
        <f>IFERROR(__xludf.DUMMYFUNCTION("""COMPUTED_VALUE"""),"江井ヶ嶋")</f>
        <v>江井ヶ嶋</v>
      </c>
      <c r="E130" s="35" t="str">
        <f>IFERROR(__xludf.DUMMYFUNCTION("""COMPUTED_VALUE"""),"シングルモルト")</f>
        <v>シングルモルト</v>
      </c>
      <c r="F130" s="35"/>
      <c r="G130" s="35" t="str">
        <f>IFERROR(__xludf.DUMMYFUNCTION("""COMPUTED_VALUE"""),"あかし バーボンバレル 3年 ヘビリーピーテッド")</f>
        <v>あかし バーボンバレル 3年 ヘビリーピーテッド</v>
      </c>
      <c r="H130" s="35"/>
      <c r="I130" s="35"/>
      <c r="J130" s="34"/>
      <c r="K130" s="34"/>
      <c r="L130" s="35"/>
      <c r="M130" s="35"/>
      <c r="N130" s="36"/>
      <c r="O130" s="35"/>
      <c r="P130" s="37">
        <f>IFERROR(__xludf.DUMMYFUNCTION("""COMPUTED_VALUE"""),2800.0)</f>
        <v>2800</v>
      </c>
      <c r="Q130" s="37">
        <f>IFERROR(__xludf.DUMMYFUNCTION("""COMPUTED_VALUE"""),1500.0)</f>
        <v>1500</v>
      </c>
      <c r="R130" s="37"/>
      <c r="S130" s="38">
        <f>IFERROR(__xludf.DUMMYFUNCTION("""COMPUTED_VALUE"""),45166.0)</f>
        <v>45166</v>
      </c>
      <c r="T130" s="35"/>
      <c r="U130" s="35"/>
      <c r="V130" s="35"/>
      <c r="W130" s="35"/>
      <c r="X130" s="35"/>
      <c r="Y130" s="35"/>
      <c r="Z130" s="35"/>
    </row>
    <row r="131" ht="15.75" customHeight="1">
      <c r="A131" s="35" t="str">
        <f>IFERROR(__xludf.DUMMYFUNCTION("""COMPUTED_VALUE"""),"JP")</f>
        <v>JP</v>
      </c>
      <c r="B131" s="35" t="str">
        <f>IFERROR(__xludf.DUMMYFUNCTION("""COMPUTED_VALUE"""),"江井ヶ嶋")</f>
        <v>江井ヶ嶋</v>
      </c>
      <c r="C131" s="35" t="str">
        <f>IFERROR(__xludf.DUMMYFUNCTION("""COMPUTED_VALUE"""),"江井ヶ嶋")</f>
        <v>江井ヶ嶋</v>
      </c>
      <c r="D131" s="35" t="str">
        <f>IFERROR(__xludf.DUMMYFUNCTION("""COMPUTED_VALUE"""),"江井ヶ嶋")</f>
        <v>江井ヶ嶋</v>
      </c>
      <c r="E131" s="35" t="str">
        <f>IFERROR(__xludf.DUMMYFUNCTION("""COMPUTED_VALUE"""),"シングルモルト")</f>
        <v>シングルモルト</v>
      </c>
      <c r="F131" s="35"/>
      <c r="G131" s="35" t="str">
        <f>IFERROR(__xludf.DUMMYFUNCTION("""COMPUTED_VALUE"""),"あかし 5年 オロロソカスクフィニッシュ")</f>
        <v>あかし 5年 オロロソカスクフィニッシュ</v>
      </c>
      <c r="H131" s="35"/>
      <c r="I131" s="35"/>
      <c r="J131" s="34"/>
      <c r="K131" s="34"/>
      <c r="L131" s="35"/>
      <c r="M131" s="35"/>
      <c r="N131" s="36"/>
      <c r="O131" s="35"/>
      <c r="P131" s="37">
        <f>IFERROR(__xludf.DUMMYFUNCTION("""COMPUTED_VALUE"""),2800.0)</f>
        <v>2800</v>
      </c>
      <c r="Q131" s="37">
        <f>IFERROR(__xludf.DUMMYFUNCTION("""COMPUTED_VALUE"""),1500.0)</f>
        <v>1500</v>
      </c>
      <c r="R131" s="37"/>
      <c r="S131" s="38"/>
      <c r="T131" s="35"/>
      <c r="U131" s="35"/>
      <c r="V131" s="35"/>
      <c r="W131" s="35"/>
      <c r="X131" s="35"/>
      <c r="Y131" s="35"/>
      <c r="Z131" s="35"/>
    </row>
    <row r="132" ht="15.75" customHeight="1">
      <c r="A132" s="35" t="str">
        <f>IFERROR(__xludf.DUMMYFUNCTION("""COMPUTED_VALUE"""),"JP")</f>
        <v>JP</v>
      </c>
      <c r="B132" s="35" t="str">
        <f>IFERROR(__xludf.DUMMYFUNCTION("""COMPUTED_VALUE"""),"江井ヶ嶋")</f>
        <v>江井ヶ嶋</v>
      </c>
      <c r="C132" s="35" t="str">
        <f>IFERROR(__xludf.DUMMYFUNCTION("""COMPUTED_VALUE"""),"江井ヶ嶋")</f>
        <v>江井ヶ嶋</v>
      </c>
      <c r="D132" s="35" t="str">
        <f>IFERROR(__xludf.DUMMYFUNCTION("""COMPUTED_VALUE"""),"江井ヶ嶋")</f>
        <v>江井ヶ嶋</v>
      </c>
      <c r="E132" s="35" t="str">
        <f>IFERROR(__xludf.DUMMYFUNCTION("""COMPUTED_VALUE"""),"シングルモルト")</f>
        <v>シングルモルト</v>
      </c>
      <c r="F132" s="35"/>
      <c r="G132" s="35" t="str">
        <f>IFERROR(__xludf.DUMMYFUNCTION("""COMPUTED_VALUE"""),"魚住")</f>
        <v>魚住</v>
      </c>
      <c r="H132" s="35"/>
      <c r="I132" s="35"/>
      <c r="J132" s="34"/>
      <c r="K132" s="34"/>
      <c r="L132" s="35"/>
      <c r="M132" s="35"/>
      <c r="N132" s="36"/>
      <c r="O132" s="35"/>
      <c r="P132" s="37">
        <f>IFERROR(__xludf.DUMMYFUNCTION("""COMPUTED_VALUE"""),2600.0)</f>
        <v>2600</v>
      </c>
      <c r="Q132" s="37">
        <f>IFERROR(__xludf.DUMMYFUNCTION("""COMPUTED_VALUE"""),1400.0)</f>
        <v>1400</v>
      </c>
      <c r="R132" s="37"/>
      <c r="S132" s="38">
        <f>IFERROR(__xludf.DUMMYFUNCTION("""COMPUTED_VALUE"""),45729.0)</f>
        <v>45729</v>
      </c>
      <c r="T132" s="35"/>
      <c r="U132" s="35"/>
      <c r="V132" s="35"/>
      <c r="W132" s="35"/>
      <c r="X132" s="35"/>
      <c r="Y132" s="35"/>
      <c r="Z132" s="35"/>
    </row>
    <row r="133" ht="15.75" customHeight="1">
      <c r="A133" s="35" t="str">
        <f>IFERROR(__xludf.DUMMYFUNCTION("""COMPUTED_VALUE"""),"JP")</f>
        <v>JP</v>
      </c>
      <c r="B133" s="35" t="str">
        <f>IFERROR(__xludf.DUMMYFUNCTION("""COMPUTED_VALUE"""),"笹の川")</f>
        <v>笹の川</v>
      </c>
      <c r="C133" s="35" t="str">
        <f>IFERROR(__xludf.DUMMYFUNCTION("""COMPUTED_VALUE"""),"笹の川")</f>
        <v>笹の川</v>
      </c>
      <c r="D133" s="35" t="str">
        <f>IFERROR(__xludf.DUMMYFUNCTION("""COMPUTED_VALUE"""),"安積")</f>
        <v>安積</v>
      </c>
      <c r="E133" s="35" t="str">
        <f>IFERROR(__xludf.DUMMYFUNCTION("""COMPUTED_VALUE"""),"シングルモルト")</f>
        <v>シングルモルト</v>
      </c>
      <c r="F133" s="35"/>
      <c r="G133" s="35" t="str">
        <f>IFERROR(__xludf.DUMMYFUNCTION("""COMPUTED_VALUE"""),"安積 2022エディション")</f>
        <v>安積 2022エディション</v>
      </c>
      <c r="H133" s="35"/>
      <c r="I133" s="35"/>
      <c r="J133" s="34"/>
      <c r="K133" s="34"/>
      <c r="L133" s="35" t="str">
        <f>IFERROR(__xludf.DUMMYFUNCTION("""COMPUTED_VALUE"""),"✓")</f>
        <v>✓</v>
      </c>
      <c r="M133" s="35"/>
      <c r="N133" s="36"/>
      <c r="O133" s="35"/>
      <c r="P133" s="37">
        <f>IFERROR(__xludf.DUMMYFUNCTION("""COMPUTED_VALUE"""),2200.0)</f>
        <v>2200</v>
      </c>
      <c r="Q133" s="37">
        <f>IFERROR(__xludf.DUMMYFUNCTION("""COMPUTED_VALUE"""),1200.0)</f>
        <v>1200</v>
      </c>
      <c r="R133" s="37"/>
      <c r="S133" s="38">
        <f>IFERROR(__xludf.DUMMYFUNCTION("""COMPUTED_VALUE"""),45279.0)</f>
        <v>45279</v>
      </c>
      <c r="T133" s="35"/>
      <c r="U133" s="35"/>
      <c r="V133" s="35"/>
      <c r="W133" s="35"/>
      <c r="X133" s="35"/>
      <c r="Y133" s="35"/>
      <c r="Z133" s="35"/>
    </row>
    <row r="134" ht="15.75" customHeight="1">
      <c r="A134" s="35" t="str">
        <f>IFERROR(__xludf.DUMMYFUNCTION("""COMPUTED_VALUE"""),"JP")</f>
        <v>JP</v>
      </c>
      <c r="B134" s="35" t="str">
        <f>IFERROR(__xludf.DUMMYFUNCTION("""COMPUTED_VALUE"""),"笹の川")</f>
        <v>笹の川</v>
      </c>
      <c r="C134" s="35" t="str">
        <f>IFERROR(__xludf.DUMMYFUNCTION("""COMPUTED_VALUE"""),"笹の川")</f>
        <v>笹の川</v>
      </c>
      <c r="D134" s="35" t="str">
        <f>IFERROR(__xludf.DUMMYFUNCTION("""COMPUTED_VALUE"""),"安積")</f>
        <v>安積</v>
      </c>
      <c r="E134" s="35" t="str">
        <f>IFERROR(__xludf.DUMMYFUNCTION("""COMPUTED_VALUE"""),"シングルモルト")</f>
        <v>シングルモルト</v>
      </c>
      <c r="F134" s="35"/>
      <c r="G134" s="35" t="str">
        <f>IFERROR(__xludf.DUMMYFUNCTION("""COMPUTED_VALUE"""),"安積 ザ・ファースト ピーテッド")</f>
        <v>安積 ザ・ファースト ピーテッド</v>
      </c>
      <c r="H134" s="35"/>
      <c r="I134" s="35"/>
      <c r="J134" s="34"/>
      <c r="K134" s="34"/>
      <c r="L134" s="35"/>
      <c r="M134" s="35"/>
      <c r="N134" s="36"/>
      <c r="O134" s="35"/>
      <c r="P134" s="37">
        <f>IFERROR(__xludf.DUMMYFUNCTION("""COMPUTED_VALUE"""),2400.0)</f>
        <v>2400</v>
      </c>
      <c r="Q134" s="37">
        <f>IFERROR(__xludf.DUMMYFUNCTION("""COMPUTED_VALUE"""),1300.0)</f>
        <v>1300</v>
      </c>
      <c r="R134" s="37"/>
      <c r="S134" s="38"/>
      <c r="T134" s="35"/>
      <c r="U134" s="35"/>
      <c r="V134" s="35"/>
      <c r="W134" s="35"/>
      <c r="X134" s="35"/>
      <c r="Y134" s="35"/>
      <c r="Z134" s="35"/>
    </row>
    <row r="135" ht="15.75" customHeight="1">
      <c r="A135" s="35" t="str">
        <f>IFERROR(__xludf.DUMMYFUNCTION("""COMPUTED_VALUE"""),"JP")</f>
        <v>JP</v>
      </c>
      <c r="B135" s="35" t="str">
        <f>IFERROR(__xludf.DUMMYFUNCTION("""COMPUTED_VALUE"""),"篠崎")</f>
        <v>篠崎</v>
      </c>
      <c r="C135" s="35" t="str">
        <f>IFERROR(__xludf.DUMMYFUNCTION("""COMPUTED_VALUE"""),"篠崎")</f>
        <v>篠崎</v>
      </c>
      <c r="D135" s="35"/>
      <c r="E135" s="35" t="str">
        <f>IFERROR(__xludf.DUMMYFUNCTION("""COMPUTED_VALUE"""),"シングルモルト")</f>
        <v>シングルモルト</v>
      </c>
      <c r="F135" s="35"/>
      <c r="G135" s="35" t="str">
        <f>IFERROR(__xludf.DUMMYFUNCTION("""COMPUTED_VALUE"""),"エクスペリメンタル 01")</f>
        <v>エクスペリメンタル 01</v>
      </c>
      <c r="H135" s="35"/>
      <c r="I135" s="35"/>
      <c r="J135" s="34"/>
      <c r="K135" s="34"/>
      <c r="L135" s="35"/>
      <c r="M135" s="35"/>
      <c r="N135" s="36">
        <f>IFERROR(__xludf.DUMMYFUNCTION("""COMPUTED_VALUE"""),0.5)</f>
        <v>0.5</v>
      </c>
      <c r="O135" s="35"/>
      <c r="P135" s="37">
        <f>IFERROR(__xludf.DUMMYFUNCTION("""COMPUTED_VALUE"""),2400.0)</f>
        <v>2400</v>
      </c>
      <c r="Q135" s="37">
        <f>IFERROR(__xludf.DUMMYFUNCTION("""COMPUTED_VALUE"""),1300.0)</f>
        <v>1300</v>
      </c>
      <c r="R135" s="37"/>
      <c r="S135" s="38">
        <f>IFERROR(__xludf.DUMMYFUNCTION("""COMPUTED_VALUE"""),45821.0)</f>
        <v>45821</v>
      </c>
      <c r="T135" s="35"/>
      <c r="U135" s="35"/>
      <c r="V135" s="35"/>
      <c r="W135" s="35"/>
      <c r="X135" s="35"/>
      <c r="Y135" s="35"/>
      <c r="Z135" s="35"/>
    </row>
    <row r="136" ht="15.75" customHeight="1">
      <c r="A136" s="35" t="str">
        <f>IFERROR(__xludf.DUMMYFUNCTION("""COMPUTED_VALUE"""),"Sc")</f>
        <v>Sc</v>
      </c>
      <c r="B136" s="35"/>
      <c r="C136" s="35" t="str">
        <f>IFERROR(__xludf.DUMMYFUNCTION("""COMPUTED_VALUE"""),"サントリー")</f>
        <v>サントリー</v>
      </c>
      <c r="D136" s="35"/>
      <c r="E136" s="35" t="str">
        <f>IFERROR(__xludf.DUMMYFUNCTION("""COMPUTED_VALUE"""),"シングルモルト")</f>
        <v>シングルモルト</v>
      </c>
      <c r="F136" s="35"/>
      <c r="G136" s="35" t="str">
        <f>IFERROR(__xludf.DUMMYFUNCTION("""COMPUTED_VALUE"""),"グレンフィディック 12年")</f>
        <v>グレンフィディック 12年</v>
      </c>
      <c r="H136" s="35"/>
      <c r="I136" s="35"/>
      <c r="J136" s="34"/>
      <c r="K136" s="34"/>
      <c r="L136" s="35" t="str">
        <f>IFERROR(__xludf.DUMMYFUNCTION("""COMPUTED_VALUE"""),"✓")</f>
        <v>✓</v>
      </c>
      <c r="M136" s="35"/>
      <c r="N136" s="36"/>
      <c r="O136" s="35"/>
      <c r="P136" s="37">
        <f>IFERROR(__xludf.DUMMYFUNCTION("""COMPUTED_VALUE"""),1100.0)</f>
        <v>1100</v>
      </c>
      <c r="Q136" s="37">
        <f>IFERROR(__xludf.DUMMYFUNCTION("""COMPUTED_VALUE"""),650.0)</f>
        <v>650</v>
      </c>
      <c r="R136" s="37"/>
      <c r="S136" s="38"/>
      <c r="T136" s="35"/>
      <c r="U136" s="35"/>
      <c r="V136" s="35"/>
      <c r="W136" s="35"/>
      <c r="X136" s="35"/>
      <c r="Y136" s="35"/>
      <c r="Z136" s="35"/>
    </row>
    <row r="137" ht="15.75" customHeight="1">
      <c r="A137" s="35" t="str">
        <f>IFERROR(__xludf.DUMMYFUNCTION("""COMPUTED_VALUE"""),"Sc")</f>
        <v>Sc</v>
      </c>
      <c r="B137" s="35"/>
      <c r="C137" s="35" t="str">
        <f>IFERROR(__xludf.DUMMYFUNCTION("""COMPUTED_VALUE"""),"サントリー")</f>
        <v>サントリー</v>
      </c>
      <c r="D137" s="35"/>
      <c r="E137" s="35" t="str">
        <f>IFERROR(__xludf.DUMMYFUNCTION("""COMPUTED_VALUE"""),"シングルモルト")</f>
        <v>シングルモルト</v>
      </c>
      <c r="F137" s="35"/>
      <c r="G137" s="35" t="str">
        <f>IFERROR(__xludf.DUMMYFUNCTION("""COMPUTED_VALUE"""),"スキャパ スキレン")</f>
        <v>スキャパ スキレン</v>
      </c>
      <c r="H137" s="35"/>
      <c r="I137" s="35"/>
      <c r="J137" s="34"/>
      <c r="K137" s="34"/>
      <c r="L137" s="35" t="str">
        <f>IFERROR(__xludf.DUMMYFUNCTION("""COMPUTED_VALUE"""),"✓")</f>
        <v>✓</v>
      </c>
      <c r="M137" s="35"/>
      <c r="N137" s="36"/>
      <c r="O137" s="35"/>
      <c r="P137" s="37">
        <f>IFERROR(__xludf.DUMMYFUNCTION("""COMPUTED_VALUE"""),1300.0)</f>
        <v>1300</v>
      </c>
      <c r="Q137" s="37">
        <f>IFERROR(__xludf.DUMMYFUNCTION("""COMPUTED_VALUE"""),750.0)</f>
        <v>750</v>
      </c>
      <c r="R137" s="37"/>
      <c r="S137" s="38"/>
      <c r="T137" s="35"/>
      <c r="U137" s="35"/>
      <c r="V137" s="35"/>
      <c r="W137" s="35"/>
      <c r="X137" s="35"/>
      <c r="Y137" s="35"/>
      <c r="Z137" s="35"/>
    </row>
    <row r="138" ht="15.75" customHeight="1">
      <c r="A138" s="35" t="str">
        <f>IFERROR(__xludf.DUMMYFUNCTION("""COMPUTED_VALUE"""),"Sc")</f>
        <v>Sc</v>
      </c>
      <c r="B138" s="35"/>
      <c r="C138" s="35" t="str">
        <f>IFERROR(__xludf.DUMMYFUNCTION("""COMPUTED_VALUE"""),"サントリー")</f>
        <v>サントリー</v>
      </c>
      <c r="D138" s="35"/>
      <c r="E138" s="35" t="str">
        <f>IFERROR(__xludf.DUMMYFUNCTION("""COMPUTED_VALUE"""),"シングルモルト")</f>
        <v>シングルモルト</v>
      </c>
      <c r="F138" s="35"/>
      <c r="G138" s="35" t="str">
        <f>IFERROR(__xludf.DUMMYFUNCTION("""COMPUTED_VALUE"""),"ボウモア 12年")</f>
        <v>ボウモア 12年</v>
      </c>
      <c r="H138" s="35"/>
      <c r="I138" s="35"/>
      <c r="J138" s="34"/>
      <c r="K138" s="34"/>
      <c r="L138" s="35" t="str">
        <f>IFERROR(__xludf.DUMMYFUNCTION("""COMPUTED_VALUE"""),"✓")</f>
        <v>✓</v>
      </c>
      <c r="M138" s="35"/>
      <c r="N138" s="36"/>
      <c r="O138" s="35"/>
      <c r="P138" s="37">
        <f>IFERROR(__xludf.DUMMYFUNCTION("""COMPUTED_VALUE"""),1300.0)</f>
        <v>1300</v>
      </c>
      <c r="Q138" s="37">
        <f>IFERROR(__xludf.DUMMYFUNCTION("""COMPUTED_VALUE"""),750.0)</f>
        <v>750</v>
      </c>
      <c r="R138" s="37"/>
      <c r="S138" s="38"/>
      <c r="T138" s="35"/>
      <c r="U138" s="35"/>
      <c r="V138" s="35"/>
      <c r="W138" s="35"/>
      <c r="X138" s="35"/>
      <c r="Y138" s="35"/>
      <c r="Z138" s="35"/>
    </row>
    <row r="139" ht="15.75" customHeight="1">
      <c r="A139" s="35" t="str">
        <f>IFERROR(__xludf.DUMMYFUNCTION("""COMPUTED_VALUE"""),"Sc")</f>
        <v>Sc</v>
      </c>
      <c r="B139" s="35"/>
      <c r="C139" s="35" t="str">
        <f>IFERROR(__xludf.DUMMYFUNCTION("""COMPUTED_VALUE"""),"サントリー")</f>
        <v>サントリー</v>
      </c>
      <c r="D139" s="35"/>
      <c r="E139" s="35" t="str">
        <f>IFERROR(__xludf.DUMMYFUNCTION("""COMPUTED_VALUE"""),"シングルモルト")</f>
        <v>シングルモルト</v>
      </c>
      <c r="F139" s="35"/>
      <c r="G139" s="35" t="str">
        <f>IFERROR(__xludf.DUMMYFUNCTION("""COMPUTED_VALUE"""),"マッカラン ゴールド")</f>
        <v>マッカラン ゴールド</v>
      </c>
      <c r="H139" s="35"/>
      <c r="I139" s="35"/>
      <c r="J139" s="34"/>
      <c r="K139" s="34"/>
      <c r="L139" s="35"/>
      <c r="M139" s="35"/>
      <c r="N139" s="36"/>
      <c r="O139" s="35"/>
      <c r="P139" s="37">
        <f>IFERROR(__xludf.DUMMYFUNCTION("""COMPUTED_VALUE"""),1800.0)</f>
        <v>1800</v>
      </c>
      <c r="Q139" s="37">
        <f>IFERROR(__xludf.DUMMYFUNCTION("""COMPUTED_VALUE"""),1000.0)</f>
        <v>1000</v>
      </c>
      <c r="R139" s="37"/>
      <c r="S139" s="38"/>
      <c r="T139" s="35"/>
      <c r="U139" s="35"/>
      <c r="V139" s="35"/>
      <c r="W139" s="35"/>
      <c r="X139" s="35"/>
      <c r="Y139" s="35"/>
      <c r="Z139" s="35"/>
    </row>
    <row r="140" ht="15.75" customHeight="1">
      <c r="A140" s="35" t="str">
        <f>IFERROR(__xludf.DUMMYFUNCTION("""COMPUTED_VALUE"""),"Sc")</f>
        <v>Sc</v>
      </c>
      <c r="B140" s="35"/>
      <c r="C140" s="35" t="str">
        <f>IFERROR(__xludf.DUMMYFUNCTION("""COMPUTED_VALUE"""),"サントリー")</f>
        <v>サントリー</v>
      </c>
      <c r="D140" s="35"/>
      <c r="E140" s="35" t="str">
        <f>IFERROR(__xludf.DUMMYFUNCTION("""COMPUTED_VALUE"""),"シングルモルト")</f>
        <v>シングルモルト</v>
      </c>
      <c r="F140" s="35"/>
      <c r="G140" s="35" t="str">
        <f>IFERROR(__xludf.DUMMYFUNCTION("""COMPUTED_VALUE"""),"マッカラン シエナ")</f>
        <v>マッカラン シエナ</v>
      </c>
      <c r="H140" s="35"/>
      <c r="I140" s="35"/>
      <c r="J140" s="34"/>
      <c r="K140" s="34"/>
      <c r="L140" s="35"/>
      <c r="M140" s="35"/>
      <c r="N140" s="36"/>
      <c r="O140" s="35"/>
      <c r="P140" s="37">
        <f>IFERROR(__xludf.DUMMYFUNCTION("""COMPUTED_VALUE"""),2000.0)</f>
        <v>2000</v>
      </c>
      <c r="Q140" s="37">
        <f>IFERROR(__xludf.DUMMYFUNCTION("""COMPUTED_VALUE"""),1100.0)</f>
        <v>1100</v>
      </c>
      <c r="R140" s="37"/>
      <c r="S140" s="38"/>
      <c r="T140" s="35"/>
      <c r="U140" s="35"/>
      <c r="V140" s="35"/>
      <c r="W140" s="35"/>
      <c r="X140" s="35"/>
      <c r="Y140" s="35"/>
      <c r="Z140" s="35"/>
    </row>
    <row r="141" ht="15.75" customHeight="1">
      <c r="A141" s="35" t="str">
        <f>IFERROR(__xludf.DUMMYFUNCTION("""COMPUTED_VALUE"""),"Sc")</f>
        <v>Sc</v>
      </c>
      <c r="B141" s="35"/>
      <c r="C141" s="35" t="str">
        <f>IFERROR(__xludf.DUMMYFUNCTION("""COMPUTED_VALUE"""),"サントリー")</f>
        <v>サントリー</v>
      </c>
      <c r="D141" s="35"/>
      <c r="E141" s="35" t="str">
        <f>IFERROR(__xludf.DUMMYFUNCTION("""COMPUTED_VALUE"""),"シングルモルト")</f>
        <v>シングルモルト</v>
      </c>
      <c r="F141" s="35"/>
      <c r="G141" s="35" t="str">
        <f>IFERROR(__xludf.DUMMYFUNCTION("""COMPUTED_VALUE"""),"マッカラン 12年")</f>
        <v>マッカラン 12年</v>
      </c>
      <c r="H141" s="35"/>
      <c r="I141" s="35"/>
      <c r="J141" s="34"/>
      <c r="K141" s="34"/>
      <c r="L141" s="35" t="str">
        <f>IFERROR(__xludf.DUMMYFUNCTION("""COMPUTED_VALUE"""),"✓")</f>
        <v>✓</v>
      </c>
      <c r="M141" s="35"/>
      <c r="N141" s="36"/>
      <c r="O141" s="35"/>
      <c r="P141" s="37">
        <f>IFERROR(__xludf.DUMMYFUNCTION("""COMPUTED_VALUE"""),2200.0)</f>
        <v>2200</v>
      </c>
      <c r="Q141" s="37">
        <f>IFERROR(__xludf.DUMMYFUNCTION("""COMPUTED_VALUE"""),1200.0)</f>
        <v>1200</v>
      </c>
      <c r="R141" s="37"/>
      <c r="S141" s="38"/>
      <c r="T141" s="35"/>
      <c r="U141" s="35"/>
      <c r="V141" s="35"/>
      <c r="W141" s="35"/>
      <c r="X141" s="35"/>
      <c r="Y141" s="35"/>
      <c r="Z141" s="35"/>
    </row>
    <row r="142" ht="15.75" customHeight="1">
      <c r="A142" s="35" t="str">
        <f>IFERROR(__xludf.DUMMYFUNCTION("""COMPUTED_VALUE"""),"Sc")</f>
        <v>Sc</v>
      </c>
      <c r="B142" s="35"/>
      <c r="C142" s="35" t="str">
        <f>IFERROR(__xludf.DUMMYFUNCTION("""COMPUTED_VALUE"""),"サントリー")</f>
        <v>サントリー</v>
      </c>
      <c r="D142" s="35"/>
      <c r="E142" s="35" t="str">
        <f>IFERROR(__xludf.DUMMYFUNCTION("""COMPUTED_VALUE"""),"シングルモルト")</f>
        <v>シングルモルト</v>
      </c>
      <c r="F142" s="35"/>
      <c r="G142" s="35" t="str">
        <f>IFERROR(__xludf.DUMMYFUNCTION("""COMPUTED_VALUE"""),"ラフロイグ 10年")</f>
        <v>ラフロイグ 10年</v>
      </c>
      <c r="H142" s="35"/>
      <c r="I142" s="35"/>
      <c r="J142" s="34"/>
      <c r="K142" s="34"/>
      <c r="L142" s="35" t="str">
        <f>IFERROR(__xludf.DUMMYFUNCTION("""COMPUTED_VALUE"""),"✓")</f>
        <v>✓</v>
      </c>
      <c r="M142" s="35"/>
      <c r="N142" s="36"/>
      <c r="O142" s="35"/>
      <c r="P142" s="37">
        <f>IFERROR(__xludf.DUMMYFUNCTION("""COMPUTED_VALUE"""),1400.0)</f>
        <v>1400</v>
      </c>
      <c r="Q142" s="37">
        <f>IFERROR(__xludf.DUMMYFUNCTION("""COMPUTED_VALUE"""),800.0)</f>
        <v>800</v>
      </c>
      <c r="R142" s="37"/>
      <c r="S142" s="38"/>
      <c r="T142" s="35"/>
      <c r="U142" s="35"/>
      <c r="V142" s="35"/>
      <c r="W142" s="35"/>
      <c r="X142" s="35"/>
      <c r="Y142" s="35"/>
      <c r="Z142" s="35"/>
    </row>
    <row r="143" ht="15.75" customHeight="1">
      <c r="A143" s="35" t="str">
        <f>IFERROR(__xludf.DUMMYFUNCTION("""COMPUTED_VALUE"""),"Sc")</f>
        <v>Sc</v>
      </c>
      <c r="B143" s="35"/>
      <c r="C143" s="35" t="str">
        <f>IFERROR(__xludf.DUMMYFUNCTION("""COMPUTED_VALUE"""),"サントリー")</f>
        <v>サントリー</v>
      </c>
      <c r="D143" s="35"/>
      <c r="E143" s="35" t="str">
        <f>IFERROR(__xludf.DUMMYFUNCTION("""COMPUTED_VALUE"""),"シングルモルト")</f>
        <v>シングルモルト</v>
      </c>
      <c r="F143" s="35"/>
      <c r="G143" s="35" t="str">
        <f>IFERROR(__xludf.DUMMYFUNCTION("""COMPUTED_VALUE"""),"ラフロイグ ウォーターカスク")</f>
        <v>ラフロイグ ウォーターカスク</v>
      </c>
      <c r="H143" s="35"/>
      <c r="I143" s="35"/>
      <c r="J143" s="34"/>
      <c r="K143" s="34"/>
      <c r="L143" s="35"/>
      <c r="M143" s="35"/>
      <c r="N143" s="36"/>
      <c r="O143" s="35"/>
      <c r="P143" s="37">
        <f>IFERROR(__xludf.DUMMYFUNCTION("""COMPUTED_VALUE"""),1800.0)</f>
        <v>1800</v>
      </c>
      <c r="Q143" s="37">
        <f>IFERROR(__xludf.DUMMYFUNCTION("""COMPUTED_VALUE"""),1000.0)</f>
        <v>1000</v>
      </c>
      <c r="R143" s="37"/>
      <c r="S143" s="38"/>
      <c r="T143" s="35"/>
      <c r="U143" s="35"/>
      <c r="V143" s="35"/>
      <c r="W143" s="35"/>
      <c r="X143" s="35"/>
      <c r="Y143" s="35"/>
      <c r="Z143" s="35"/>
    </row>
    <row r="144" ht="15.75" customHeight="1">
      <c r="A144" s="35" t="str">
        <f>IFERROR(__xludf.DUMMYFUNCTION("""COMPUTED_VALUE"""),"Sc")</f>
        <v>Sc</v>
      </c>
      <c r="B144" s="35"/>
      <c r="C144" s="35" t="str">
        <f>IFERROR(__xludf.DUMMYFUNCTION("""COMPUTED_VALUE"""),"サントリー")</f>
        <v>サントリー</v>
      </c>
      <c r="D144" s="35"/>
      <c r="E144" s="35" t="str">
        <f>IFERROR(__xludf.DUMMYFUNCTION("""COMPUTED_VALUE"""),"シングルモルト")</f>
        <v>シングルモルト</v>
      </c>
      <c r="F144" s="35"/>
      <c r="G144" s="35" t="str">
        <f>IFERROR(__xludf.DUMMYFUNCTION("""COMPUTED_VALUE"""),"バランタイン シングルモルト グレンバーギー 15年")</f>
        <v>バランタイン シングルモルト グレンバーギー 15年</v>
      </c>
      <c r="H144" s="35"/>
      <c r="I144" s="35"/>
      <c r="J144" s="34"/>
      <c r="K144" s="34"/>
      <c r="L144" s="35"/>
      <c r="M144" s="35"/>
      <c r="N144" s="36"/>
      <c r="O144" s="35"/>
      <c r="P144" s="37">
        <f>IFERROR(__xludf.DUMMYFUNCTION("""COMPUTED_VALUE"""),1500.0)</f>
        <v>1500</v>
      </c>
      <c r="Q144" s="37">
        <f>IFERROR(__xludf.DUMMYFUNCTION("""COMPUTED_VALUE"""),850.0)</f>
        <v>850</v>
      </c>
      <c r="R144" s="37"/>
      <c r="S144" s="38"/>
      <c r="T144" s="35"/>
      <c r="U144" s="35"/>
      <c r="V144" s="35"/>
      <c r="W144" s="35"/>
      <c r="X144" s="35"/>
      <c r="Y144" s="35"/>
      <c r="Z144" s="35"/>
    </row>
    <row r="145" ht="15.75" customHeight="1">
      <c r="A145" s="35" t="str">
        <f>IFERROR(__xludf.DUMMYFUNCTION("""COMPUTED_VALUE"""),"Sc")</f>
        <v>Sc</v>
      </c>
      <c r="B145" s="35"/>
      <c r="C145" s="35" t="str">
        <f>IFERROR(__xludf.DUMMYFUNCTION("""COMPUTED_VALUE"""),"サントリー")</f>
        <v>サントリー</v>
      </c>
      <c r="D145" s="35"/>
      <c r="E145" s="35" t="str">
        <f>IFERROR(__xludf.DUMMYFUNCTION("""COMPUTED_VALUE"""),"シングルモルト")</f>
        <v>シングルモルト</v>
      </c>
      <c r="F145" s="35"/>
      <c r="G145" s="35" t="str">
        <f>IFERROR(__xludf.DUMMYFUNCTION("""COMPUTED_VALUE"""),"バランタイン シングルモルト ミルトンダフ 15年")</f>
        <v>バランタイン シングルモルト ミルトンダフ 15年</v>
      </c>
      <c r="H145" s="35"/>
      <c r="I145" s="35"/>
      <c r="J145" s="34"/>
      <c r="K145" s="34"/>
      <c r="L145" s="35"/>
      <c r="M145" s="35"/>
      <c r="N145" s="36"/>
      <c r="O145" s="35"/>
      <c r="P145" s="37">
        <f>IFERROR(__xludf.DUMMYFUNCTION("""COMPUTED_VALUE"""),1500.0)</f>
        <v>1500</v>
      </c>
      <c r="Q145" s="37">
        <f>IFERROR(__xludf.DUMMYFUNCTION("""COMPUTED_VALUE"""),850.0)</f>
        <v>850</v>
      </c>
      <c r="R145" s="37"/>
      <c r="S145" s="38"/>
      <c r="T145" s="35"/>
      <c r="U145" s="35"/>
      <c r="V145" s="35"/>
      <c r="W145" s="35"/>
      <c r="X145" s="35"/>
      <c r="Y145" s="35"/>
      <c r="Z145" s="35"/>
    </row>
    <row r="146" ht="15.75" customHeight="1">
      <c r="A146" s="35" t="str">
        <f>IFERROR(__xludf.DUMMYFUNCTION("""COMPUTED_VALUE"""),"Sc")</f>
        <v>Sc</v>
      </c>
      <c r="B146" s="35"/>
      <c r="C146" s="35" t="str">
        <f>IFERROR(__xludf.DUMMYFUNCTION("""COMPUTED_VALUE"""),"サントリー")</f>
        <v>サントリー</v>
      </c>
      <c r="D146" s="35"/>
      <c r="E146" s="35" t="str">
        <f>IFERROR(__xludf.DUMMYFUNCTION("""COMPUTED_VALUE"""),"シングルモルト")</f>
        <v>シングルモルト</v>
      </c>
      <c r="F146" s="35"/>
      <c r="G146" s="35" t="str">
        <f>IFERROR(__xludf.DUMMYFUNCTION("""COMPUTED_VALUE"""),"バランタイン シングルモルト グレントファーズ 15年")</f>
        <v>バランタイン シングルモルト グレントファーズ 15年</v>
      </c>
      <c r="H146" s="35"/>
      <c r="I146" s="35"/>
      <c r="J146" s="34"/>
      <c r="K146" s="34"/>
      <c r="L146" s="35"/>
      <c r="M146" s="35"/>
      <c r="N146" s="36"/>
      <c r="O146" s="35"/>
      <c r="P146" s="37">
        <f>IFERROR(__xludf.DUMMYFUNCTION("""COMPUTED_VALUE"""),1500.0)</f>
        <v>1500</v>
      </c>
      <c r="Q146" s="37">
        <f>IFERROR(__xludf.DUMMYFUNCTION("""COMPUTED_VALUE"""),850.0)</f>
        <v>850</v>
      </c>
      <c r="R146" s="37"/>
      <c r="S146" s="38"/>
      <c r="T146" s="35"/>
      <c r="U146" s="35"/>
      <c r="V146" s="35"/>
      <c r="W146" s="35"/>
      <c r="X146" s="35"/>
      <c r="Y146" s="35"/>
      <c r="Z146" s="35"/>
    </row>
    <row r="147" ht="15.75" customHeight="1">
      <c r="A147" s="35" t="str">
        <f>IFERROR(__xludf.DUMMYFUNCTION("""COMPUTED_VALUE"""),"Sc")</f>
        <v>Sc</v>
      </c>
      <c r="B147" s="35"/>
      <c r="C147" s="35" t="str">
        <f>IFERROR(__xludf.DUMMYFUNCTION("""COMPUTED_VALUE"""),"MHD")</f>
        <v>MHD</v>
      </c>
      <c r="D147" s="35"/>
      <c r="E147" s="35" t="str">
        <f>IFERROR(__xludf.DUMMYFUNCTION("""COMPUTED_VALUE"""),"シングルモルト")</f>
        <v>シングルモルト</v>
      </c>
      <c r="F147" s="35"/>
      <c r="G147" s="35" t="str">
        <f>IFERROR(__xludf.DUMMYFUNCTION("""COMPUTED_VALUE"""),"アードベッグ 10年")</f>
        <v>アードベッグ 10年</v>
      </c>
      <c r="H147" s="35"/>
      <c r="I147" s="35"/>
      <c r="J147" s="34"/>
      <c r="K147" s="34"/>
      <c r="L147" s="35" t="str">
        <f>IFERROR(__xludf.DUMMYFUNCTION("""COMPUTED_VALUE"""),"✓")</f>
        <v>✓</v>
      </c>
      <c r="M147" s="35"/>
      <c r="N147" s="36"/>
      <c r="O147" s="35"/>
      <c r="P147" s="37">
        <f>IFERROR(__xludf.DUMMYFUNCTION("""COMPUTED_VALUE"""),1300.0)</f>
        <v>1300</v>
      </c>
      <c r="Q147" s="37">
        <f>IFERROR(__xludf.DUMMYFUNCTION("""COMPUTED_VALUE"""),750.0)</f>
        <v>750</v>
      </c>
      <c r="R147" s="37"/>
      <c r="S147" s="38"/>
      <c r="T147" s="35"/>
      <c r="U147" s="35"/>
      <c r="V147" s="35"/>
      <c r="W147" s="35"/>
      <c r="X147" s="35"/>
      <c r="Y147" s="35"/>
      <c r="Z147" s="35"/>
    </row>
    <row r="148" ht="15.75" customHeight="1">
      <c r="A148" s="35" t="str">
        <f>IFERROR(__xludf.DUMMYFUNCTION("""COMPUTED_VALUE"""),"Sc")</f>
        <v>Sc</v>
      </c>
      <c r="B148" s="35"/>
      <c r="C148" s="35" t="str">
        <f>IFERROR(__xludf.DUMMYFUNCTION("""COMPUTED_VALUE"""),"MHD")</f>
        <v>MHD</v>
      </c>
      <c r="D148" s="35"/>
      <c r="E148" s="35" t="str">
        <f>IFERROR(__xludf.DUMMYFUNCTION("""COMPUTED_VALUE"""),"シングルモルト")</f>
        <v>シングルモルト</v>
      </c>
      <c r="F148" s="35"/>
      <c r="G148" s="35" t="str">
        <f>IFERROR(__xludf.DUMMYFUNCTION("""COMPUTED_VALUE"""),"アードベッグ コリーヴレッカン")</f>
        <v>アードベッグ コリーヴレッカン</v>
      </c>
      <c r="H148" s="35"/>
      <c r="I148" s="35"/>
      <c r="J148" s="34"/>
      <c r="K148" s="34"/>
      <c r="L148" s="35" t="str">
        <f>IFERROR(__xludf.DUMMYFUNCTION("""COMPUTED_VALUE"""),"✓")</f>
        <v>✓</v>
      </c>
      <c r="M148" s="35"/>
      <c r="N148" s="36"/>
      <c r="O148" s="35"/>
      <c r="P148" s="37">
        <f>IFERROR(__xludf.DUMMYFUNCTION("""COMPUTED_VALUE"""),1800.0)</f>
        <v>1800</v>
      </c>
      <c r="Q148" s="37">
        <f>IFERROR(__xludf.DUMMYFUNCTION("""COMPUTED_VALUE"""),1000.0)</f>
        <v>1000</v>
      </c>
      <c r="R148" s="37"/>
      <c r="S148" s="38"/>
      <c r="T148" s="35"/>
      <c r="U148" s="35"/>
      <c r="V148" s="35"/>
      <c r="W148" s="35"/>
      <c r="X148" s="35"/>
      <c r="Y148" s="35"/>
      <c r="Z148" s="35"/>
    </row>
    <row r="149" ht="15.75" customHeight="1">
      <c r="A149" s="35" t="str">
        <f>IFERROR(__xludf.DUMMYFUNCTION("""COMPUTED_VALUE"""),"Sc")</f>
        <v>Sc</v>
      </c>
      <c r="B149" s="35"/>
      <c r="C149" s="35" t="str">
        <f>IFERROR(__xludf.DUMMYFUNCTION("""COMPUTED_VALUE"""),"MHD")</f>
        <v>MHD</v>
      </c>
      <c r="D149" s="35"/>
      <c r="E149" s="35" t="str">
        <f>IFERROR(__xludf.DUMMYFUNCTION("""COMPUTED_VALUE"""),"シングルモルト")</f>
        <v>シングルモルト</v>
      </c>
      <c r="F149" s="35"/>
      <c r="G149" s="35" t="str">
        <f>IFERROR(__xludf.DUMMYFUNCTION("""COMPUTED_VALUE"""),"アードベッグ スコーチ")</f>
        <v>アードベッグ スコーチ</v>
      </c>
      <c r="H149" s="35"/>
      <c r="I149" s="35"/>
      <c r="J149" s="34"/>
      <c r="K149" s="34"/>
      <c r="L149" s="35"/>
      <c r="M149" s="35"/>
      <c r="N149" s="36"/>
      <c r="O149" s="35"/>
      <c r="P149" s="37">
        <f>IFERROR(__xludf.DUMMYFUNCTION("""COMPUTED_VALUE"""),2800.0)</f>
        <v>2800</v>
      </c>
      <c r="Q149" s="37">
        <f>IFERROR(__xludf.DUMMYFUNCTION("""COMPUTED_VALUE"""),1500.0)</f>
        <v>1500</v>
      </c>
      <c r="R149" s="37"/>
      <c r="S149" s="38"/>
      <c r="T149" s="35"/>
      <c r="U149" s="35"/>
      <c r="V149" s="35"/>
      <c r="W149" s="35"/>
      <c r="X149" s="35"/>
      <c r="Y149" s="35"/>
      <c r="Z149" s="35"/>
    </row>
    <row r="150" ht="15.75" customHeight="1">
      <c r="A150" s="35" t="str">
        <f>IFERROR(__xludf.DUMMYFUNCTION("""COMPUTED_VALUE"""),"Sc")</f>
        <v>Sc</v>
      </c>
      <c r="B150" s="35"/>
      <c r="C150" s="35" t="str">
        <f>IFERROR(__xludf.DUMMYFUNCTION("""COMPUTED_VALUE"""),"カンパリ")</f>
        <v>カンパリ</v>
      </c>
      <c r="D150" s="35"/>
      <c r="E150" s="35" t="str">
        <f>IFERROR(__xludf.DUMMYFUNCTION("""COMPUTED_VALUE"""),"シングルモルト")</f>
        <v>シングルモルト</v>
      </c>
      <c r="F150" s="35"/>
      <c r="G150" s="35" t="str">
        <f>IFERROR(__xludf.DUMMYFUNCTION("""COMPUTED_VALUE"""),"グレングラント アルボラリス")</f>
        <v>グレングラント アルボラリス</v>
      </c>
      <c r="H150" s="35"/>
      <c r="I150" s="35"/>
      <c r="J150" s="34"/>
      <c r="K150" s="34"/>
      <c r="L150" s="35" t="str">
        <f>IFERROR(__xludf.DUMMYFUNCTION("""COMPUTED_VALUE"""),"✓")</f>
        <v>✓</v>
      </c>
      <c r="M150" s="35"/>
      <c r="N150" s="36"/>
      <c r="O150" s="35"/>
      <c r="P150" s="37">
        <f>IFERROR(__xludf.DUMMYFUNCTION("""COMPUTED_VALUE"""),1100.0)</f>
        <v>1100</v>
      </c>
      <c r="Q150" s="37">
        <f>IFERROR(__xludf.DUMMYFUNCTION("""COMPUTED_VALUE"""),650.0)</f>
        <v>650</v>
      </c>
      <c r="R150" s="37"/>
      <c r="S150" s="38"/>
      <c r="T150" s="35"/>
      <c r="U150" s="35"/>
      <c r="V150" s="35"/>
      <c r="W150" s="35"/>
      <c r="X150" s="35"/>
      <c r="Y150" s="35"/>
      <c r="Z150" s="35"/>
    </row>
    <row r="151" ht="15.75" customHeight="1">
      <c r="A151" s="35" t="str">
        <f>IFERROR(__xludf.DUMMYFUNCTION("""COMPUTED_VALUE"""),"Sc")</f>
        <v>Sc</v>
      </c>
      <c r="B151" s="35"/>
      <c r="C151" s="35" t="str">
        <f>IFERROR(__xludf.DUMMYFUNCTION("""COMPUTED_VALUE"""),"アサヒビール")</f>
        <v>アサヒビール</v>
      </c>
      <c r="D151" s="35"/>
      <c r="E151" s="35" t="str">
        <f>IFERROR(__xludf.DUMMYFUNCTION("""COMPUTED_VALUE"""),"シングルモルト")</f>
        <v>シングルモルト</v>
      </c>
      <c r="F151" s="35"/>
      <c r="G151" s="35" t="str">
        <f>IFERROR(__xludf.DUMMYFUNCTION("""COMPUTED_VALUE"""),"グレンドロナック 18年")</f>
        <v>グレンドロナック 18年</v>
      </c>
      <c r="H151" s="35"/>
      <c r="I151" s="35"/>
      <c r="J151" s="34"/>
      <c r="K151" s="34"/>
      <c r="L151" s="35"/>
      <c r="M151" s="35"/>
      <c r="N151" s="36"/>
      <c r="O151" s="35"/>
      <c r="P151" s="37">
        <f>IFERROR(__xludf.DUMMYFUNCTION("""COMPUTED_VALUE"""),2200.0)</f>
        <v>2200</v>
      </c>
      <c r="Q151" s="37">
        <f>IFERROR(__xludf.DUMMYFUNCTION("""COMPUTED_VALUE"""),1200.0)</f>
        <v>1200</v>
      </c>
      <c r="R151" s="37"/>
      <c r="S151" s="38"/>
      <c r="T151" s="35"/>
      <c r="U151" s="35"/>
      <c r="V151" s="35"/>
      <c r="W151" s="35"/>
      <c r="X151" s="35"/>
      <c r="Y151" s="35"/>
      <c r="Z151" s="35"/>
    </row>
    <row r="152" ht="15.75" customHeight="1">
      <c r="A152" s="35" t="str">
        <f>IFERROR(__xludf.DUMMYFUNCTION("""COMPUTED_VALUE"""),"Sc")</f>
        <v>Sc</v>
      </c>
      <c r="B152" s="35"/>
      <c r="C152" s="35" t="str">
        <f>IFERROR(__xludf.DUMMYFUNCTION("""COMPUTED_VALUE"""),"MHD")</f>
        <v>MHD</v>
      </c>
      <c r="D152" s="35"/>
      <c r="E152" s="35" t="str">
        <f>IFERROR(__xludf.DUMMYFUNCTION("""COMPUTED_VALUE"""),"シングルモルト")</f>
        <v>シングルモルト</v>
      </c>
      <c r="F152" s="35"/>
      <c r="G152" s="35" t="str">
        <f>IFERROR(__xludf.DUMMYFUNCTION("""COMPUTED_VALUE"""),"グレンモーレンジィ 10年")</f>
        <v>グレンモーレンジィ 10年</v>
      </c>
      <c r="H152" s="35"/>
      <c r="I152" s="35"/>
      <c r="J152" s="34"/>
      <c r="K152" s="34"/>
      <c r="L152" s="35"/>
      <c r="M152" s="35"/>
      <c r="N152" s="36"/>
      <c r="O152" s="35"/>
      <c r="P152" s="37">
        <f>IFERROR(__xludf.DUMMYFUNCTION("""COMPUTED_VALUE"""),1100.0)</f>
        <v>1100</v>
      </c>
      <c r="Q152" s="37">
        <f>IFERROR(__xludf.DUMMYFUNCTION("""COMPUTED_VALUE"""),650.0)</f>
        <v>650</v>
      </c>
      <c r="R152" s="37"/>
      <c r="S152" s="38"/>
      <c r="T152" s="35"/>
      <c r="U152" s="35"/>
      <c r="V152" s="35"/>
      <c r="W152" s="35"/>
      <c r="X152" s="35"/>
      <c r="Y152" s="35"/>
      <c r="Z152" s="35"/>
    </row>
    <row r="153" ht="15.75" customHeight="1">
      <c r="A153" s="35" t="str">
        <f>IFERROR(__xludf.DUMMYFUNCTION("""COMPUTED_VALUE"""),"Sc")</f>
        <v>Sc</v>
      </c>
      <c r="B153" s="35"/>
      <c r="C153" s="35" t="str">
        <f>IFERROR(__xludf.DUMMYFUNCTION("""COMPUTED_VALUE"""),"MHD")</f>
        <v>MHD</v>
      </c>
      <c r="D153" s="35"/>
      <c r="E153" s="35" t="str">
        <f>IFERROR(__xludf.DUMMYFUNCTION("""COMPUTED_VALUE"""),"シングルモルト")</f>
        <v>シングルモルト</v>
      </c>
      <c r="F153" s="35"/>
      <c r="G153" s="35" t="str">
        <f>IFERROR(__xludf.DUMMYFUNCTION("""COMPUTED_VALUE"""),"グレンモーレンジィ 10年 旧ボトル")</f>
        <v>グレンモーレンジィ 10年 旧ボトル</v>
      </c>
      <c r="H153" s="35"/>
      <c r="I153" s="35"/>
      <c r="J153" s="34"/>
      <c r="K153" s="34"/>
      <c r="L153" s="35"/>
      <c r="M153" s="35"/>
      <c r="N153" s="36"/>
      <c r="O153" s="35"/>
      <c r="P153" s="37">
        <f>IFERROR(__xludf.DUMMYFUNCTION("""COMPUTED_VALUE"""),1300.0)</f>
        <v>1300</v>
      </c>
      <c r="Q153" s="37">
        <f>IFERROR(__xludf.DUMMYFUNCTION("""COMPUTED_VALUE"""),750.0)</f>
        <v>750</v>
      </c>
      <c r="R153" s="37"/>
      <c r="S153" s="38"/>
      <c r="T153" s="35"/>
      <c r="U153" s="35"/>
      <c r="V153" s="35"/>
      <c r="W153" s="35"/>
      <c r="X153" s="35"/>
      <c r="Y153" s="35"/>
      <c r="Z153" s="35"/>
    </row>
    <row r="154" ht="15.75" customHeight="1">
      <c r="A154" s="35" t="str">
        <f>IFERROR(__xludf.DUMMYFUNCTION("""COMPUTED_VALUE"""),"Sc")</f>
        <v>Sc</v>
      </c>
      <c r="B154" s="35"/>
      <c r="C154" s="35" t="str">
        <f>IFERROR(__xludf.DUMMYFUNCTION("""COMPUTED_VALUE"""),"ペルノリカール")</f>
        <v>ペルノリカール</v>
      </c>
      <c r="D154" s="35"/>
      <c r="E154" s="35" t="str">
        <f>IFERROR(__xludf.DUMMYFUNCTION("""COMPUTED_VALUE"""),"シングルモルト")</f>
        <v>シングルモルト</v>
      </c>
      <c r="F154" s="35"/>
      <c r="G154" s="35" t="str">
        <f>IFERROR(__xludf.DUMMYFUNCTION("""COMPUTED_VALUE"""),"グレンリヴェット 12年 ダブルオーク")</f>
        <v>グレンリヴェット 12年 ダブルオーク</v>
      </c>
      <c r="H154" s="35"/>
      <c r="I154" s="35"/>
      <c r="J154" s="34"/>
      <c r="K154" s="34"/>
      <c r="L154" s="35" t="str">
        <f>IFERROR(__xludf.DUMMYFUNCTION("""COMPUTED_VALUE"""),"✓")</f>
        <v>✓</v>
      </c>
      <c r="M154" s="35"/>
      <c r="N154" s="36"/>
      <c r="O154" s="35"/>
      <c r="P154" s="37">
        <f>IFERROR(__xludf.DUMMYFUNCTION("""COMPUTED_VALUE"""),1300.0)</f>
        <v>1300</v>
      </c>
      <c r="Q154" s="37">
        <f>IFERROR(__xludf.DUMMYFUNCTION("""COMPUTED_VALUE"""),750.0)</f>
        <v>750</v>
      </c>
      <c r="R154" s="37"/>
      <c r="S154" s="38"/>
      <c r="T154" s="35"/>
      <c r="U154" s="35"/>
      <c r="V154" s="35"/>
      <c r="W154" s="35"/>
      <c r="X154" s="35"/>
      <c r="Y154" s="35"/>
      <c r="Z154" s="35"/>
    </row>
    <row r="155" ht="15.75" customHeight="1">
      <c r="A155" s="35" t="str">
        <f>IFERROR(__xludf.DUMMYFUNCTION("""COMPUTED_VALUE"""),"Sc")</f>
        <v>Sc</v>
      </c>
      <c r="B155" s="35"/>
      <c r="C155" s="35" t="str">
        <f>IFERROR(__xludf.DUMMYFUNCTION("""COMPUTED_VALUE"""),"ペルノリカール")</f>
        <v>ペルノリカール</v>
      </c>
      <c r="D155" s="35"/>
      <c r="E155" s="35" t="str">
        <f>IFERROR(__xludf.DUMMYFUNCTION("""COMPUTED_VALUE"""),"シングルモルト")</f>
        <v>シングルモルト</v>
      </c>
      <c r="F155" s="35"/>
      <c r="G155" s="35" t="str">
        <f>IFERROR(__xludf.DUMMYFUNCTION("""COMPUTED_VALUE"""),"グレンリヴェット 12年 旧ボトル")</f>
        <v>グレンリヴェット 12年 旧ボトル</v>
      </c>
      <c r="H155" s="35"/>
      <c r="I155" s="35"/>
      <c r="J155" s="34"/>
      <c r="K155" s="34"/>
      <c r="L155" s="35"/>
      <c r="M155" s="35"/>
      <c r="N155" s="36"/>
      <c r="O155" s="35"/>
      <c r="P155" s="37">
        <f>IFERROR(__xludf.DUMMYFUNCTION("""COMPUTED_VALUE"""),1400.0)</f>
        <v>1400</v>
      </c>
      <c r="Q155" s="37">
        <f>IFERROR(__xludf.DUMMYFUNCTION("""COMPUTED_VALUE"""),800.0)</f>
        <v>800</v>
      </c>
      <c r="R155" s="37"/>
      <c r="S155" s="38"/>
      <c r="T155" s="35"/>
      <c r="U155" s="35"/>
      <c r="V155" s="35"/>
      <c r="W155" s="35"/>
      <c r="X155" s="35"/>
      <c r="Y155" s="35"/>
      <c r="Z155" s="35"/>
    </row>
    <row r="156" ht="15.75" customHeight="1">
      <c r="A156" s="35" t="str">
        <f>IFERROR(__xludf.DUMMYFUNCTION("""COMPUTED_VALUE"""),"Sc")</f>
        <v>Sc</v>
      </c>
      <c r="B156" s="35" t="str">
        <f>IFERROR(__xludf.DUMMYFUNCTION("""COMPUTED_VALUE"""),"ホワイト＆マッカイ")</f>
        <v>ホワイト＆マッカイ</v>
      </c>
      <c r="C156" s="35"/>
      <c r="D156" s="35"/>
      <c r="E156" s="35" t="str">
        <f>IFERROR(__xludf.DUMMYFUNCTION("""COMPUTED_VALUE"""),"シングルモルト")</f>
        <v>シングルモルト</v>
      </c>
      <c r="F156" s="35"/>
      <c r="G156" s="35" t="str">
        <f>IFERROR(__xludf.DUMMYFUNCTION("""COMPUTED_VALUE"""),"ダルモア グランレゼルヴァ")</f>
        <v>ダルモア グランレゼルヴァ</v>
      </c>
      <c r="H156" s="35"/>
      <c r="I156" s="35"/>
      <c r="J156" s="34"/>
      <c r="K156" s="34"/>
      <c r="L156" s="35"/>
      <c r="M156" s="35"/>
      <c r="N156" s="36"/>
      <c r="O156" s="35"/>
      <c r="P156" s="37">
        <f>IFERROR(__xludf.DUMMYFUNCTION("""COMPUTED_VALUE"""),1600.0)</f>
        <v>1600</v>
      </c>
      <c r="Q156" s="37">
        <f>IFERROR(__xludf.DUMMYFUNCTION("""COMPUTED_VALUE"""),900.0)</f>
        <v>900</v>
      </c>
      <c r="R156" s="37"/>
      <c r="S156" s="38"/>
      <c r="T156" s="35"/>
      <c r="U156" s="35"/>
      <c r="V156" s="35"/>
      <c r="W156" s="35"/>
      <c r="X156" s="35"/>
      <c r="Y156" s="35"/>
      <c r="Z156" s="35"/>
    </row>
    <row r="157" ht="15.75" customHeight="1">
      <c r="A157" s="35" t="str">
        <f>IFERROR(__xludf.DUMMYFUNCTION("""COMPUTED_VALUE"""),"Sc")</f>
        <v>Sc</v>
      </c>
      <c r="B157" s="35" t="str">
        <f>IFERROR(__xludf.DUMMYFUNCTION("""COMPUTED_VALUE"""),"ホワイト＆マッカイ")</f>
        <v>ホワイト＆マッカイ</v>
      </c>
      <c r="C157" s="35"/>
      <c r="D157" s="35"/>
      <c r="E157" s="35" t="str">
        <f>IFERROR(__xludf.DUMMYFUNCTION("""COMPUTED_VALUE"""),"シングルモルト")</f>
        <v>シングルモルト</v>
      </c>
      <c r="F157" s="35"/>
      <c r="G157" s="35" t="str">
        <f>IFERROR(__xludf.DUMMYFUNCTION("""COMPUTED_VALUE"""),"ダルモア 12年 ブラックアイル")</f>
        <v>ダルモア 12年 ブラックアイル</v>
      </c>
      <c r="H157" s="35"/>
      <c r="I157" s="35"/>
      <c r="J157" s="34"/>
      <c r="K157" s="34"/>
      <c r="L157" s="35"/>
      <c r="M157" s="35"/>
      <c r="N157" s="36"/>
      <c r="O157" s="35"/>
      <c r="P157" s="37">
        <f>IFERROR(__xludf.DUMMYFUNCTION("""COMPUTED_VALUE"""),1600.0)</f>
        <v>1600</v>
      </c>
      <c r="Q157" s="37">
        <f>IFERROR(__xludf.DUMMYFUNCTION("""COMPUTED_VALUE"""),900.0)</f>
        <v>900</v>
      </c>
      <c r="R157" s="37"/>
      <c r="S157" s="38"/>
      <c r="T157" s="35"/>
      <c r="U157" s="35"/>
      <c r="V157" s="35"/>
      <c r="W157" s="35"/>
      <c r="X157" s="35"/>
      <c r="Y157" s="35"/>
      <c r="Z157" s="35"/>
    </row>
    <row r="158" ht="15.75" customHeight="1">
      <c r="A158" s="35" t="str">
        <f>IFERROR(__xludf.DUMMYFUNCTION("""COMPUTED_VALUE"""),"Sc")</f>
        <v>Sc</v>
      </c>
      <c r="B158" s="35" t="str">
        <f>IFERROR(__xludf.DUMMYFUNCTION("""COMPUTED_VALUE"""),"G&amp;M")</f>
        <v>G&amp;M</v>
      </c>
      <c r="C158" s="35"/>
      <c r="D158" s="35"/>
      <c r="E158" s="35" t="str">
        <f>IFERROR(__xludf.DUMMYFUNCTION("""COMPUTED_VALUE"""),"シングルモルト")</f>
        <v>シングルモルト</v>
      </c>
      <c r="F158" s="35"/>
      <c r="G158" s="35" t="str">
        <f>IFERROR(__xludf.DUMMYFUNCTION("""COMPUTED_VALUE"""),"マックファイルズコレクション グレンロセス 8年")</f>
        <v>マックファイルズコレクション グレンロセス 8年</v>
      </c>
      <c r="H158" s="35"/>
      <c r="I158" s="35"/>
      <c r="J158" s="34"/>
      <c r="K158" s="34"/>
      <c r="L158" s="35"/>
      <c r="M158" s="35"/>
      <c r="N158" s="36"/>
      <c r="O158" s="35"/>
      <c r="P158" s="37">
        <f>IFERROR(__xludf.DUMMYFUNCTION("""COMPUTED_VALUE"""),1800.0)</f>
        <v>1800</v>
      </c>
      <c r="Q158" s="37">
        <f>IFERROR(__xludf.DUMMYFUNCTION("""COMPUTED_VALUE"""),1000.0)</f>
        <v>1000</v>
      </c>
      <c r="R158" s="37"/>
      <c r="S158" s="38"/>
      <c r="T158" s="35"/>
      <c r="U158" s="35"/>
      <c r="V158" s="35"/>
      <c r="W158" s="35"/>
      <c r="X158" s="35"/>
      <c r="Y158" s="35"/>
      <c r="Z158" s="35"/>
    </row>
    <row r="159" ht="15.75" customHeight="1">
      <c r="A159" s="35" t="str">
        <f>IFERROR(__xludf.DUMMYFUNCTION("""COMPUTED_VALUE"""),"Sc")</f>
        <v>Sc</v>
      </c>
      <c r="B159" s="35"/>
      <c r="C159" s="35" t="str">
        <f>IFERROR(__xludf.DUMMYFUNCTION("""COMPUTED_VALUE"""),"MHD")</f>
        <v>MHD</v>
      </c>
      <c r="D159" s="35"/>
      <c r="E159" s="35" t="str">
        <f>IFERROR(__xludf.DUMMYFUNCTION("""COMPUTED_VALUE"""),"シングルモルト")</f>
        <v>シングルモルト</v>
      </c>
      <c r="F159" s="35"/>
      <c r="G159" s="35" t="str">
        <f>IFERROR(__xludf.DUMMYFUNCTION("""COMPUTED_VALUE"""),"ラガヴーリン 16年")</f>
        <v>ラガヴーリン 16年</v>
      </c>
      <c r="H159" s="35"/>
      <c r="I159" s="35"/>
      <c r="J159" s="34"/>
      <c r="K159" s="34"/>
      <c r="L159" s="35" t="str">
        <f>IFERROR(__xludf.DUMMYFUNCTION("""COMPUTED_VALUE"""),"✓")</f>
        <v>✓</v>
      </c>
      <c r="M159" s="35"/>
      <c r="N159" s="36"/>
      <c r="O159" s="35"/>
      <c r="P159" s="37">
        <f>IFERROR(__xludf.DUMMYFUNCTION("""COMPUTED_VALUE"""),2400.0)</f>
        <v>2400</v>
      </c>
      <c r="Q159" s="37">
        <f>IFERROR(__xludf.DUMMYFUNCTION("""COMPUTED_VALUE"""),1300.0)</f>
        <v>1300</v>
      </c>
      <c r="R159" s="37"/>
      <c r="S159" s="38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4"/>
      <c r="K160" s="34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4"/>
      <c r="K161" s="34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4"/>
      <c r="K162" s="34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4"/>
      <c r="K163" s="34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4"/>
      <c r="K164" s="34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4"/>
      <c r="K165" s="34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4"/>
      <c r="K166" s="34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4"/>
      <c r="K167" s="34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4"/>
      <c r="K168" s="34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4"/>
      <c r="K169" s="34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4"/>
      <c r="K170" s="34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4"/>
      <c r="K171" s="34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4"/>
      <c r="K172" s="34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4"/>
      <c r="K173" s="34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4"/>
      <c r="K174" s="34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4"/>
      <c r="K175" s="34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4"/>
      <c r="K176" s="34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4"/>
      <c r="K177" s="34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4"/>
      <c r="K178" s="34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4"/>
      <c r="K179" s="34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4"/>
      <c r="K180" s="34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4"/>
      <c r="K181" s="34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4"/>
      <c r="K182" s="34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4"/>
      <c r="K183" s="34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4"/>
      <c r="K184" s="34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4"/>
      <c r="K185" s="34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4"/>
      <c r="K186" s="34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4"/>
      <c r="K187" s="34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4"/>
      <c r="K188" s="34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4"/>
      <c r="K189" s="34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4"/>
      <c r="K190" s="34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4"/>
      <c r="K191" s="34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4"/>
      <c r="K192" s="34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4"/>
      <c r="K193" s="34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4"/>
      <c r="K194" s="34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4"/>
      <c r="K195" s="34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4"/>
      <c r="K196" s="34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4"/>
      <c r="K197" s="34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4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4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4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4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4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4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4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4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4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4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4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4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4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4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4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4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4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4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4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4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4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4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4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4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4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4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4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4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4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4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4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4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4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4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4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4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4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4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4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4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4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4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4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4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4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4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4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4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4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4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4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4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4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4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4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4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4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4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4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4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4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4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4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4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4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4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4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4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4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4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4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4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4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4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4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4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4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4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4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4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4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4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4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4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4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4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4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4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4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4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4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4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4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4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4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4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4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4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4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4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4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4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4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4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4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4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4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4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4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4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4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4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4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4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4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4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4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4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4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4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4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4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4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4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4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4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4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4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4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4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4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4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4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4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4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4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4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4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4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4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4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4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4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4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4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4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4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4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4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4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4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4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4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4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4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4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4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4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4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4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4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4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2.29"/>
    <col customWidth="1" min="3" max="3" width="12.29"/>
    <col customWidth="1" hidden="1" min="4" max="4" width="21.14"/>
    <col customWidth="1" min="5" max="5" width="21.14"/>
    <col customWidth="1" hidden="1" min="6" max="6" width="7.86"/>
    <col customWidth="1" min="7" max="7" width="44.14"/>
    <col customWidth="1" min="8" max="8" width="27.86"/>
    <col customWidth="1" hidden="1" min="9" max="9" width="6.29"/>
    <col customWidth="1" hidden="1" min="10" max="10" width="12.0"/>
    <col customWidth="1" hidden="1" min="11" max="11" width="27.86"/>
    <col customWidth="1" hidden="1" min="12" max="12" width="5.71"/>
    <col customWidth="1" hidden="1" min="13" max="13" width="28.57"/>
    <col customWidth="1" min="14" max="14" width="5.71"/>
    <col customWidth="1" hidden="1" min="15" max="15" width="28.57"/>
    <col customWidth="1" min="16" max="18" width="7.43"/>
    <col customWidth="1" min="19" max="19" width="12.0"/>
    <col customWidth="1" min="20" max="22" width="28.57"/>
  </cols>
  <sheetData>
    <row r="1">
      <c r="A1" s="41" t="s">
        <v>20</v>
      </c>
      <c r="T1" s="41"/>
      <c r="U1" s="41"/>
      <c r="V1" s="41"/>
    </row>
    <row r="2">
      <c r="A2" s="42" t="str">
        <f>IFERROR(__xludf.DUMMYFUNCTION("QUERY('全ウイスキー'!A:S, ""SELECT * WHERE B contains 'サントリー'"")"),"国")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IFERROR(__xludf.DUMMYFUNCTION("""COMPUTED_VALUE"""),"サントリー")</f>
        <v>サントリー</v>
      </c>
      <c r="C3" s="35" t="str">
        <f>IFERROR(__xludf.DUMMYFUNCTION("""COMPUTED_VALUE"""),"サントリー")</f>
        <v>サントリー</v>
      </c>
      <c r="D3" s="35" t="str">
        <f>IFERROR(__xludf.DUMMYFUNCTION("""COMPUTED_VALUE"""),"山崎")</f>
        <v>山崎</v>
      </c>
      <c r="E3" s="35" t="str">
        <f>IFERROR(__xludf.DUMMYFUNCTION("""COMPUTED_VALUE"""),"シングルモルト")</f>
        <v>シングルモルト</v>
      </c>
      <c r="F3" s="35"/>
      <c r="G3" s="35" t="str">
        <f>IFERROR(__xludf.DUMMYFUNCTION("""COMPUTED_VALUE"""),"山崎")</f>
        <v>山崎</v>
      </c>
      <c r="H3" s="35"/>
      <c r="I3" s="35"/>
      <c r="J3" s="35"/>
      <c r="K3" s="35"/>
      <c r="L3" s="35" t="str">
        <f>IFERROR(__xludf.DUMMYFUNCTION("""COMPUTED_VALUE"""),"✓")</f>
        <v>✓</v>
      </c>
      <c r="M3" s="35"/>
      <c r="N3" s="36">
        <f>IFERROR(__xludf.DUMMYFUNCTION("""COMPUTED_VALUE"""),0.43)</f>
        <v>0.43</v>
      </c>
      <c r="O3" s="35"/>
      <c r="P3" s="37">
        <f>IFERROR(__xludf.DUMMYFUNCTION("""COMPUTED_VALUE"""),1300.0)</f>
        <v>1300</v>
      </c>
      <c r="Q3" s="37">
        <f>IFERROR(__xludf.DUMMYFUNCTION("""COMPUTED_VALUE"""),750.0)</f>
        <v>750</v>
      </c>
      <c r="R3" s="37"/>
      <c r="S3" s="38">
        <f>IFERROR(__xludf.DUMMYFUNCTION("""COMPUTED_VALUE"""),45066.0)</f>
        <v>45066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IFERROR(__xludf.DUMMYFUNCTION("""COMPUTED_VALUE"""),"サントリー")</f>
        <v>サントリー</v>
      </c>
      <c r="C4" s="35" t="str">
        <f>IFERROR(__xludf.DUMMYFUNCTION("""COMPUTED_VALUE"""),"サントリー")</f>
        <v>サントリー</v>
      </c>
      <c r="D4" s="35" t="str">
        <f>IFERROR(__xludf.DUMMYFUNCTION("""COMPUTED_VALUE"""),"山崎")</f>
        <v>山崎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IFERROR(__xludf.DUMMYFUNCTION("""COMPUTED_VALUE"""),"山崎 10年")</f>
        <v>山崎 10年</v>
      </c>
      <c r="H4" s="35"/>
      <c r="I4" s="35"/>
      <c r="J4" s="35"/>
      <c r="K4" s="35"/>
      <c r="L4" s="35"/>
      <c r="M4" s="35"/>
      <c r="N4" s="36">
        <f>IFERROR(__xludf.DUMMYFUNCTION("""COMPUTED_VALUE"""),0.4)</f>
        <v>0.4</v>
      </c>
      <c r="O4" s="35"/>
      <c r="P4" s="37">
        <f>IFERROR(__xludf.DUMMYFUNCTION("""COMPUTED_VALUE"""),2200.0)</f>
        <v>2200</v>
      </c>
      <c r="Q4" s="37">
        <f>IFERROR(__xludf.DUMMYFUNCTION("""COMPUTED_VALUE"""),1200.0)</f>
        <v>1200</v>
      </c>
      <c r="R4" s="37"/>
      <c r="S4" s="38">
        <f>IFERROR(__xludf.DUMMYFUNCTION("""COMPUTED_VALUE"""),45071.0)</f>
        <v>45071</v>
      </c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IFERROR(__xludf.DUMMYFUNCTION("""COMPUTED_VALUE"""),"サントリー")</f>
        <v>サントリー</v>
      </c>
      <c r="C5" s="35" t="str">
        <f>IFERROR(__xludf.DUMMYFUNCTION("""COMPUTED_VALUE"""),"サントリー")</f>
        <v>サントリー</v>
      </c>
      <c r="D5" s="35" t="str">
        <f>IFERROR(__xludf.DUMMYFUNCTION("""COMPUTED_VALUE"""),"山崎")</f>
        <v>山崎</v>
      </c>
      <c r="E5" s="35" t="str">
        <f>IFERROR(__xludf.DUMMYFUNCTION("""COMPUTED_VALUE"""),"シングルモルト")</f>
        <v>シングルモルト</v>
      </c>
      <c r="F5" s="35"/>
      <c r="G5" s="35" t="str">
        <f>IFERROR(__xludf.DUMMYFUNCTION("""COMPUTED_VALUE"""),"山崎 12年")</f>
        <v>山崎 12年</v>
      </c>
      <c r="H5" s="35"/>
      <c r="I5" s="35"/>
      <c r="J5" s="35"/>
      <c r="K5" s="35"/>
      <c r="L5" s="35" t="str">
        <f>IFERROR(__xludf.DUMMYFUNCTION("""COMPUTED_VALUE"""),"✓")</f>
        <v>✓</v>
      </c>
      <c r="M5" s="35"/>
      <c r="N5" s="36">
        <f>IFERROR(__xludf.DUMMYFUNCTION("""COMPUTED_VALUE"""),0.43)</f>
        <v>0.43</v>
      </c>
      <c r="O5" s="35"/>
      <c r="P5" s="37">
        <f>IFERROR(__xludf.DUMMYFUNCTION("""COMPUTED_VALUE"""),2600.0)</f>
        <v>2600</v>
      </c>
      <c r="Q5" s="37">
        <f>IFERROR(__xludf.DUMMYFUNCTION("""COMPUTED_VALUE"""),1400.0)</f>
        <v>1400</v>
      </c>
      <c r="R5" s="37"/>
      <c r="S5" s="38">
        <f>IFERROR(__xludf.DUMMYFUNCTION("""COMPUTED_VALUE"""),45067.0)</f>
        <v>45067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IFERROR(__xludf.DUMMYFUNCTION("""COMPUTED_VALUE"""),"サントリー")</f>
        <v>サントリー</v>
      </c>
      <c r="C6" s="35" t="str">
        <f>IFERROR(__xludf.DUMMYFUNCTION("""COMPUTED_VALUE"""),"サントリー")</f>
        <v>サントリー</v>
      </c>
      <c r="D6" s="35" t="str">
        <f>IFERROR(__xludf.DUMMYFUNCTION("""COMPUTED_VALUE"""),"山崎")</f>
        <v>山崎</v>
      </c>
      <c r="E6" s="35" t="str">
        <f>IFERROR(__xludf.DUMMYFUNCTION("""COMPUTED_VALUE"""),"シングルモルト")</f>
        <v>シングルモルト</v>
      </c>
      <c r="F6" s="35"/>
      <c r="G6" s="35" t="str">
        <f>IFERROR(__xludf.DUMMYFUNCTION("""COMPUTED_VALUE"""),"山崎 18年")</f>
        <v>山崎 18年</v>
      </c>
      <c r="H6" s="35"/>
      <c r="I6" s="35"/>
      <c r="J6" s="35"/>
      <c r="K6" s="35"/>
      <c r="L6" s="35" t="str">
        <f>IFERROR(__xludf.DUMMYFUNCTION("""COMPUTED_VALUE"""),"✓")</f>
        <v>✓</v>
      </c>
      <c r="M6" s="35"/>
      <c r="N6" s="36">
        <f>IFERROR(__xludf.DUMMYFUNCTION("""COMPUTED_VALUE"""),0.43)</f>
        <v>0.43</v>
      </c>
      <c r="O6" s="35"/>
      <c r="P6" s="37"/>
      <c r="Q6" s="37"/>
      <c r="R6" s="37">
        <f>IFERROR(__xludf.DUMMYFUNCTION("""COMPUTED_VALUE"""),2200.0)</f>
        <v>2200</v>
      </c>
      <c r="S6" s="38">
        <f>IFERROR(__xludf.DUMMYFUNCTION("""COMPUTED_VALUE"""),45069.0)</f>
        <v>45069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IFERROR(__xludf.DUMMYFUNCTION("""COMPUTED_VALUE"""),"サントリー")</f>
        <v>サントリー</v>
      </c>
      <c r="C7" s="35" t="str">
        <f>IFERROR(__xludf.DUMMYFUNCTION("""COMPUTED_VALUE"""),"サントリー")</f>
        <v>サントリー</v>
      </c>
      <c r="D7" s="35" t="str">
        <f>IFERROR(__xludf.DUMMYFUNCTION("""COMPUTED_VALUE"""),"山崎")</f>
        <v>山崎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IFERROR(__xludf.DUMMYFUNCTION("""COMPUTED_VALUE"""),"山崎 リミテッドエディション 2014")</f>
        <v>山崎 リミテッドエディション 2014</v>
      </c>
      <c r="H7" s="35"/>
      <c r="I7" s="35"/>
      <c r="J7" s="35"/>
      <c r="K7" s="35"/>
      <c r="L7" s="35"/>
      <c r="M7" s="35"/>
      <c r="N7" s="36">
        <f>IFERROR(__xludf.DUMMYFUNCTION("""COMPUTED_VALUE"""),0.43)</f>
        <v>0.43</v>
      </c>
      <c r="O7" s="35"/>
      <c r="P7" s="37">
        <f>IFERROR(__xludf.DUMMYFUNCTION("""COMPUTED_VALUE"""),3500.0)</f>
        <v>3500</v>
      </c>
      <c r="Q7" s="37">
        <f>IFERROR(__xludf.DUMMYFUNCTION("""COMPUTED_VALUE"""),1900.0)</f>
        <v>1900</v>
      </c>
      <c r="R7" s="37"/>
      <c r="S7" s="38">
        <f>IFERROR(__xludf.DUMMYFUNCTION("""COMPUTED_VALUE"""),45314.0)</f>
        <v>45314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IFERROR(__xludf.DUMMYFUNCTION("""COMPUTED_VALUE"""),"サントリー")</f>
        <v>サントリー</v>
      </c>
      <c r="C8" s="35" t="str">
        <f>IFERROR(__xludf.DUMMYFUNCTION("""COMPUTED_VALUE"""),"サントリー")</f>
        <v>サントリー</v>
      </c>
      <c r="D8" s="35" t="str">
        <f>IFERROR(__xludf.DUMMYFUNCTION("""COMPUTED_VALUE"""),"山崎")</f>
        <v>山崎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IFERROR(__xludf.DUMMYFUNCTION("""COMPUTED_VALUE"""),"山崎 リミテッドエディション 2015")</f>
        <v>山崎 リミテッドエディション 2015</v>
      </c>
      <c r="H8" s="35"/>
      <c r="I8" s="35"/>
      <c r="J8" s="35"/>
      <c r="K8" s="35"/>
      <c r="L8" s="35"/>
      <c r="M8" s="35"/>
      <c r="N8" s="36">
        <f>IFERROR(__xludf.DUMMYFUNCTION("""COMPUTED_VALUE"""),0.43)</f>
        <v>0.43</v>
      </c>
      <c r="O8" s="35"/>
      <c r="P8" s="37">
        <f>IFERROR(__xludf.DUMMYFUNCTION("""COMPUTED_VALUE"""),3500.0)</f>
        <v>3500</v>
      </c>
      <c r="Q8" s="37">
        <f>IFERROR(__xludf.DUMMYFUNCTION("""COMPUTED_VALUE"""),1900.0)</f>
        <v>1900</v>
      </c>
      <c r="R8" s="37"/>
      <c r="S8" s="38">
        <f>IFERROR(__xludf.DUMMYFUNCTION("""COMPUTED_VALUE"""),45074.0)</f>
        <v>45074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IFERROR(__xludf.DUMMYFUNCTION("""COMPUTED_VALUE"""),"サントリー")</f>
        <v>サントリー</v>
      </c>
      <c r="C9" s="35" t="str">
        <f>IFERROR(__xludf.DUMMYFUNCTION("""COMPUTED_VALUE"""),"サントリー")</f>
        <v>サントリー</v>
      </c>
      <c r="D9" s="35" t="str">
        <f>IFERROR(__xludf.DUMMYFUNCTION("""COMPUTED_VALUE"""),"山崎")</f>
        <v>山崎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IFERROR(__xludf.DUMMYFUNCTION("""COMPUTED_VALUE"""),"山崎蒸溜所")</f>
        <v>山崎蒸溜所</v>
      </c>
      <c r="H9" s="35" t="str">
        <f>IFERROR(__xludf.DUMMYFUNCTION("""COMPUTED_VALUE"""),"蒸溜所限定")</f>
        <v>蒸溜所限定</v>
      </c>
      <c r="I9" s="35"/>
      <c r="J9" s="35"/>
      <c r="K9" s="35"/>
      <c r="L9" s="35"/>
      <c r="M9" s="35"/>
      <c r="N9" s="36">
        <f>IFERROR(__xludf.DUMMYFUNCTION("""COMPUTED_VALUE"""),0.4)</f>
        <v>0.4</v>
      </c>
      <c r="O9" s="35"/>
      <c r="P9" s="37">
        <f>IFERROR(__xludf.DUMMYFUNCTION("""COMPUTED_VALUE"""),1500.0)</f>
        <v>1500</v>
      </c>
      <c r="Q9" s="37">
        <f>IFERROR(__xludf.DUMMYFUNCTION("""COMPUTED_VALUE"""),850.0)</f>
        <v>850</v>
      </c>
      <c r="R9" s="37"/>
      <c r="S9" s="38"/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IFERROR(__xludf.DUMMYFUNCTION("""COMPUTED_VALUE"""),"サントリー")</f>
        <v>サントリー</v>
      </c>
      <c r="C10" s="35" t="str">
        <f>IFERROR(__xludf.DUMMYFUNCTION("""COMPUTED_VALUE"""),"サントリー")</f>
        <v>サントリー</v>
      </c>
      <c r="D10" s="35" t="str">
        <f>IFERROR(__xludf.DUMMYFUNCTION("""COMPUTED_VALUE"""),"山崎")</f>
        <v>山崎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IFERROR(__xludf.DUMMYFUNCTION("""COMPUTED_VALUE"""),"山崎蒸溜所 ピーテッド")</f>
        <v>山崎蒸溜所 ピーテッド</v>
      </c>
      <c r="H10" s="35" t="str">
        <f>IFERROR(__xludf.DUMMYFUNCTION("""COMPUTED_VALUE"""),"エッセンスオブサントリー")</f>
        <v>エッセンスオブサントリー</v>
      </c>
      <c r="I10" s="35"/>
      <c r="J10" s="35"/>
      <c r="K10" s="35"/>
      <c r="L10" s="35"/>
      <c r="M10" s="35"/>
      <c r="N10" s="36">
        <f>IFERROR(__xludf.DUMMYFUNCTION("""COMPUTED_VALUE"""),0.49)</f>
        <v>0.49</v>
      </c>
      <c r="O10" s="35"/>
      <c r="P10" s="37">
        <f>IFERROR(__xludf.DUMMYFUNCTION("""COMPUTED_VALUE"""),3500.0)</f>
        <v>3500</v>
      </c>
      <c r="Q10" s="37">
        <f>IFERROR(__xludf.DUMMYFUNCTION("""COMPUTED_VALUE"""),1900.0)</f>
        <v>1900</v>
      </c>
      <c r="R10" s="37"/>
      <c r="S10" s="38">
        <f>IFERROR(__xludf.DUMMYFUNCTION("""COMPUTED_VALUE"""),45084.0)</f>
        <v>45084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IFERROR(__xludf.DUMMYFUNCTION("""COMPUTED_VALUE"""),"サントリー")</f>
        <v>サントリー</v>
      </c>
      <c r="C11" s="35" t="str">
        <f>IFERROR(__xludf.DUMMYFUNCTION("""COMPUTED_VALUE"""),"サントリー")</f>
        <v>サントリー</v>
      </c>
      <c r="D11" s="35" t="str">
        <f>IFERROR(__xludf.DUMMYFUNCTION("""COMPUTED_VALUE"""),"山崎")</f>
        <v>山崎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IFERROR(__xludf.DUMMYFUNCTION("""COMPUTED_VALUE"""),"WSO-007")</f>
        <v>WSO-007</v>
      </c>
      <c r="H11" s="35" t="str">
        <f>IFERROR(__xludf.DUMMYFUNCTION("""COMPUTED_VALUE"""),"Whisky Shop W.限定")</f>
        <v>Whisky Shop W.限定</v>
      </c>
      <c r="I11" s="35"/>
      <c r="J11" s="35"/>
      <c r="K11" s="35"/>
      <c r="L11" s="35"/>
      <c r="M11" s="35"/>
      <c r="N11" s="36">
        <f>IFERROR(__xludf.DUMMYFUNCTION("""COMPUTED_VALUE"""),0.48)</f>
        <v>0.48</v>
      </c>
      <c r="O11" s="35">
        <f>IFERROR(__xludf.DUMMYFUNCTION("""COMPUTED_VALUE"""),3000.0)</f>
        <v>3000</v>
      </c>
      <c r="P11" s="37">
        <f>IFERROR(__xludf.DUMMYFUNCTION("""COMPUTED_VALUE"""),2800.0)</f>
        <v>2800</v>
      </c>
      <c r="Q11" s="37">
        <f>IFERROR(__xludf.DUMMYFUNCTION("""COMPUTED_VALUE"""),1500.0)</f>
        <v>1500</v>
      </c>
      <c r="R11" s="37"/>
      <c r="S11" s="38"/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IFERROR(__xludf.DUMMYFUNCTION("""COMPUTED_VALUE"""),"サントリー")</f>
        <v>サントリー</v>
      </c>
      <c r="C12" s="35" t="str">
        <f>IFERROR(__xludf.DUMMYFUNCTION("""COMPUTED_VALUE"""),"サントリー")</f>
        <v>サントリー</v>
      </c>
      <c r="D12" s="35" t="str">
        <f>IFERROR(__xludf.DUMMYFUNCTION("""COMPUTED_VALUE"""),"白州")</f>
        <v>白州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IFERROR(__xludf.DUMMYFUNCTION("""COMPUTED_VALUE"""),"白州")</f>
        <v>白州</v>
      </c>
      <c r="H12" s="35"/>
      <c r="I12" s="35"/>
      <c r="J12" s="35"/>
      <c r="K12" s="35"/>
      <c r="L12" s="35" t="str">
        <f>IFERROR(__xludf.DUMMYFUNCTION("""COMPUTED_VALUE"""),"✓")</f>
        <v>✓</v>
      </c>
      <c r="M12" s="35"/>
      <c r="N12" s="36">
        <f>IFERROR(__xludf.DUMMYFUNCTION("""COMPUTED_VALUE"""),0.43)</f>
        <v>0.43</v>
      </c>
      <c r="O12" s="35"/>
      <c r="P12" s="37">
        <f>IFERROR(__xludf.DUMMYFUNCTION("""COMPUTED_VALUE"""),1300.0)</f>
        <v>1300</v>
      </c>
      <c r="Q12" s="37">
        <f>IFERROR(__xludf.DUMMYFUNCTION("""COMPUTED_VALUE"""),700.0)</f>
        <v>700</v>
      </c>
      <c r="R12" s="37"/>
      <c r="S12" s="38">
        <f>IFERROR(__xludf.DUMMYFUNCTION("""COMPUTED_VALUE"""),45076.0)</f>
        <v>45076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IFERROR(__xludf.DUMMYFUNCTION("""COMPUTED_VALUE"""),"サントリー")</f>
        <v>サントリー</v>
      </c>
      <c r="C13" s="35" t="str">
        <f>IFERROR(__xludf.DUMMYFUNCTION("""COMPUTED_VALUE"""),"サントリー")</f>
        <v>サントリー</v>
      </c>
      <c r="D13" s="35" t="str">
        <f>IFERROR(__xludf.DUMMYFUNCTION("""COMPUTED_VALUE"""),"白州")</f>
        <v>白州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IFERROR(__xludf.DUMMYFUNCTION("""COMPUTED_VALUE"""),"白州 12年")</f>
        <v>白州 12年</v>
      </c>
      <c r="H13" s="35"/>
      <c r="I13" s="35"/>
      <c r="J13" s="35"/>
      <c r="K13" s="35"/>
      <c r="L13" s="35" t="str">
        <f>IFERROR(__xludf.DUMMYFUNCTION("""COMPUTED_VALUE"""),"✓")</f>
        <v>✓</v>
      </c>
      <c r="M13" s="35"/>
      <c r="N13" s="36">
        <f>IFERROR(__xludf.DUMMYFUNCTION("""COMPUTED_VALUE"""),0.43)</f>
        <v>0.43</v>
      </c>
      <c r="O13" s="35"/>
      <c r="P13" s="37">
        <f>IFERROR(__xludf.DUMMYFUNCTION("""COMPUTED_VALUE"""),2600.0)</f>
        <v>2600</v>
      </c>
      <c r="Q13" s="37">
        <f>IFERROR(__xludf.DUMMYFUNCTION("""COMPUTED_VALUE"""),1400.0)</f>
        <v>1400</v>
      </c>
      <c r="R13" s="37"/>
      <c r="S13" s="38">
        <f>IFERROR(__xludf.DUMMYFUNCTION("""COMPUTED_VALUE"""),45078.0)</f>
        <v>45078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IFERROR(__xludf.DUMMYFUNCTION("""COMPUTED_VALUE"""),"サントリー")</f>
        <v>サントリー</v>
      </c>
      <c r="C14" s="35" t="str">
        <f>IFERROR(__xludf.DUMMYFUNCTION("""COMPUTED_VALUE"""),"サントリー")</f>
        <v>サントリー</v>
      </c>
      <c r="D14" s="35" t="str">
        <f>IFERROR(__xludf.DUMMYFUNCTION("""COMPUTED_VALUE"""),"白州")</f>
        <v>白州</v>
      </c>
      <c r="E14" s="35" t="str">
        <f>IFERROR(__xludf.DUMMYFUNCTION("""COMPUTED_VALUE"""),"シングルモルト")</f>
        <v>シングルモルト</v>
      </c>
      <c r="F14" s="35"/>
      <c r="G14" s="35" t="str">
        <f>IFERROR(__xludf.DUMMYFUNCTION("""COMPUTED_VALUE"""),"白州 18年")</f>
        <v>白州 18年</v>
      </c>
      <c r="H14" s="35"/>
      <c r="I14" s="35"/>
      <c r="J14" s="35"/>
      <c r="K14" s="35"/>
      <c r="L14" s="35" t="str">
        <f>IFERROR(__xludf.DUMMYFUNCTION("""COMPUTED_VALUE"""),"✓")</f>
        <v>✓</v>
      </c>
      <c r="M14" s="35"/>
      <c r="N14" s="36">
        <f>IFERROR(__xludf.DUMMYFUNCTION("""COMPUTED_VALUE"""),0.43)</f>
        <v>0.43</v>
      </c>
      <c r="O14" s="35"/>
      <c r="P14" s="37"/>
      <c r="Q14" s="37"/>
      <c r="R14" s="37">
        <f>IFERROR(__xludf.DUMMYFUNCTION("""COMPUTED_VALUE"""),2200.0)</f>
        <v>2200</v>
      </c>
      <c r="S14" s="38">
        <f>IFERROR(__xludf.DUMMYFUNCTION("""COMPUTED_VALUE"""),45080.0)</f>
        <v>45080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IFERROR(__xludf.DUMMYFUNCTION("""COMPUTED_VALUE"""),"サントリー")</f>
        <v>サントリー</v>
      </c>
      <c r="C15" s="35" t="str">
        <f>IFERROR(__xludf.DUMMYFUNCTION("""COMPUTED_VALUE"""),"サントリー")</f>
        <v>サントリー</v>
      </c>
      <c r="D15" s="35"/>
      <c r="E15" s="35" t="str">
        <f>IFERROR(__xludf.DUMMYFUNCTION("""COMPUTED_VALUE"""),"ブレンデッドモルト")</f>
        <v>ブレンデッドモルト</v>
      </c>
      <c r="F15" s="35"/>
      <c r="G15" s="35" t="str">
        <f>IFERROR(__xludf.DUMMYFUNCTION("""COMPUTED_VALUE"""),"北杜 12年")</f>
        <v>北杜 12年</v>
      </c>
      <c r="H15" s="35"/>
      <c r="I15" s="35"/>
      <c r="J15" s="35"/>
      <c r="K15" s="35"/>
      <c r="L15" s="35"/>
      <c r="M15" s="35"/>
      <c r="N15" s="36">
        <f>IFERROR(__xludf.DUMMYFUNCTION("""COMPUTED_VALUE"""),0.4)</f>
        <v>0.4</v>
      </c>
      <c r="O15" s="35"/>
      <c r="P15" s="37">
        <f>IFERROR(__xludf.DUMMYFUNCTION("""COMPUTED_VALUE"""),2000.0)</f>
        <v>2000</v>
      </c>
      <c r="Q15" s="37">
        <f>IFERROR(__xludf.DUMMYFUNCTION("""COMPUTED_VALUE"""),1100.0)</f>
        <v>1100</v>
      </c>
      <c r="R15" s="37"/>
      <c r="S15" s="38"/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IFERROR(__xludf.DUMMYFUNCTION("""COMPUTED_VALUE"""),"サントリー")</f>
        <v>サントリー</v>
      </c>
      <c r="C16" s="35" t="str">
        <f>IFERROR(__xludf.DUMMYFUNCTION("""COMPUTED_VALUE"""),"サントリー")</f>
        <v>サントリー</v>
      </c>
      <c r="D16" s="35" t="str">
        <f>IFERROR(__xludf.DUMMYFUNCTION("""COMPUTED_VALUE"""),"知多")</f>
        <v>知多</v>
      </c>
      <c r="E16" s="35" t="str">
        <f>IFERROR(__xludf.DUMMYFUNCTION("""COMPUTED_VALUE"""),"シングルグレーン")</f>
        <v>シングルグレーン</v>
      </c>
      <c r="F16" s="35"/>
      <c r="G16" s="35" t="str">
        <f>IFERROR(__xludf.DUMMYFUNCTION("""COMPUTED_VALUE"""),"知多")</f>
        <v>知多</v>
      </c>
      <c r="H16" s="35"/>
      <c r="I16" s="35"/>
      <c r="J16" s="35"/>
      <c r="K16" s="35"/>
      <c r="L16" s="35" t="str">
        <f>IFERROR(__xludf.DUMMYFUNCTION("""COMPUTED_VALUE"""),"✓")</f>
        <v>✓</v>
      </c>
      <c r="M16" s="35"/>
      <c r="N16" s="36">
        <f>IFERROR(__xludf.DUMMYFUNCTION("""COMPUTED_VALUE"""),0.43)</f>
        <v>0.43</v>
      </c>
      <c r="O16" s="35"/>
      <c r="P16" s="37">
        <f>IFERROR(__xludf.DUMMYFUNCTION("""COMPUTED_VALUE"""),1200.0)</f>
        <v>1200</v>
      </c>
      <c r="Q16" s="37">
        <f>IFERROR(__xludf.DUMMYFUNCTION("""COMPUTED_VALUE"""),700.0)</f>
        <v>700</v>
      </c>
      <c r="R16" s="37"/>
      <c r="S16" s="38">
        <f>IFERROR(__xludf.DUMMYFUNCTION("""COMPUTED_VALUE"""),45083.0)</f>
        <v>45083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IFERROR(__xludf.DUMMYFUNCTION("""COMPUTED_VALUE"""),"サントリー")</f>
        <v>サントリー</v>
      </c>
      <c r="C17" s="35" t="str">
        <f>IFERROR(__xludf.DUMMYFUNCTION("""COMPUTED_VALUE"""),"サントリー")</f>
        <v>サントリー</v>
      </c>
      <c r="D17" s="35" t="str">
        <f>IFERROR(__xludf.DUMMYFUNCTION("""COMPUTED_VALUE"""),"知多")</f>
        <v>知多</v>
      </c>
      <c r="E17" s="35" t="str">
        <f>IFERROR(__xludf.DUMMYFUNCTION("""COMPUTED_VALUE"""),"シングルグレーン")</f>
        <v>シングルグレーン</v>
      </c>
      <c r="F17" s="35"/>
      <c r="G17" s="35" t="str">
        <f>IFERROR(__xludf.DUMMYFUNCTION("""COMPUTED_VALUE"""),"知多蒸溜所特製グレーン")</f>
        <v>知多蒸溜所特製グレーン</v>
      </c>
      <c r="H17" s="35"/>
      <c r="I17" s="35"/>
      <c r="J17" s="35"/>
      <c r="K17" s="35"/>
      <c r="L17" s="35"/>
      <c r="M17" s="35"/>
      <c r="N17" s="36">
        <f>IFERROR(__xludf.DUMMYFUNCTION("""COMPUTED_VALUE"""),0.43)</f>
        <v>0.43</v>
      </c>
      <c r="O17" s="35"/>
      <c r="P17" s="37">
        <f>IFERROR(__xludf.DUMMYFUNCTION("""COMPUTED_VALUE"""),2600.0)</f>
        <v>2600</v>
      </c>
      <c r="Q17" s="37">
        <f>IFERROR(__xludf.DUMMYFUNCTION("""COMPUTED_VALUE"""),1400.0)</f>
        <v>1400</v>
      </c>
      <c r="R17" s="37"/>
      <c r="S17" s="38">
        <f>IFERROR(__xludf.DUMMYFUNCTION("""COMPUTED_VALUE"""),44875.0)</f>
        <v>44875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IFERROR(__xludf.DUMMYFUNCTION("""COMPUTED_VALUE"""),"サントリー")</f>
        <v>サントリー</v>
      </c>
      <c r="C18" s="35" t="str">
        <f>IFERROR(__xludf.DUMMYFUNCTION("""COMPUTED_VALUE"""),"サントリー")</f>
        <v>サントリー</v>
      </c>
      <c r="D18" s="35" t="str">
        <f>IFERROR(__xludf.DUMMYFUNCTION("""COMPUTED_VALUE"""),"白州")</f>
        <v>白州</v>
      </c>
      <c r="E18" s="35" t="str">
        <f>IFERROR(__xludf.DUMMYFUNCTION("""COMPUTED_VALUE"""),"シングルグレーン")</f>
        <v>シングルグレーン</v>
      </c>
      <c r="F18" s="35"/>
      <c r="G18" s="35" t="str">
        <f>IFERROR(__xludf.DUMMYFUNCTION("""COMPUTED_VALUE"""),"白州蒸溜所 ライタイプ")</f>
        <v>白州蒸溜所 ライタイプ</v>
      </c>
      <c r="H18" s="35" t="str">
        <f>IFERROR(__xludf.DUMMYFUNCTION("""COMPUTED_VALUE"""),"エッセンスオブサントリー")</f>
        <v>エッセンスオブサントリー</v>
      </c>
      <c r="I18" s="35"/>
      <c r="J18" s="35"/>
      <c r="K18" s="35"/>
      <c r="L18" s="35"/>
      <c r="M18" s="35"/>
      <c r="N18" s="36">
        <f>IFERROR(__xludf.DUMMYFUNCTION("""COMPUTED_VALUE"""),0.57)</f>
        <v>0.57</v>
      </c>
      <c r="O18" s="35"/>
      <c r="P18" s="37">
        <f>IFERROR(__xludf.DUMMYFUNCTION("""COMPUTED_VALUE"""),2400.0)</f>
        <v>2400</v>
      </c>
      <c r="Q18" s="37">
        <f>IFERROR(__xludf.DUMMYFUNCTION("""COMPUTED_VALUE"""),1300.0)</f>
        <v>1300</v>
      </c>
      <c r="R18" s="37"/>
      <c r="S18" s="38">
        <f>IFERROR(__xludf.DUMMYFUNCTION("""COMPUTED_VALUE"""),45104.0)</f>
        <v>45104</v>
      </c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IFERROR(__xludf.DUMMYFUNCTION("""COMPUTED_VALUE"""),"サントリー")</f>
        <v>サントリー</v>
      </c>
      <c r="C19" s="35" t="str">
        <f>IFERROR(__xludf.DUMMYFUNCTION("""COMPUTED_VALUE"""),"サントリー")</f>
        <v>サントリー</v>
      </c>
      <c r="D19" s="35"/>
      <c r="E19" s="35" t="str">
        <f>IFERROR(__xludf.DUMMYFUNCTION("""COMPUTED_VALUE"""),"ブレンデッド")</f>
        <v>ブレンデッド</v>
      </c>
      <c r="F19" s="35"/>
      <c r="G19" s="35" t="str">
        <f>IFERROR(__xludf.DUMMYFUNCTION("""COMPUTED_VALUE"""),"響 ジャパニーズハーモニー")</f>
        <v>響 ジャパニーズハーモニー</v>
      </c>
      <c r="H19" s="35"/>
      <c r="I19" s="35"/>
      <c r="J19" s="35"/>
      <c r="K19" s="35"/>
      <c r="L19" s="35" t="str">
        <f>IFERROR(__xludf.DUMMYFUNCTION("""COMPUTED_VALUE"""),"✓")</f>
        <v>✓</v>
      </c>
      <c r="M19" s="35"/>
      <c r="N19" s="36">
        <f>IFERROR(__xludf.DUMMYFUNCTION("""COMPUTED_VALUE"""),0.43)</f>
        <v>0.43</v>
      </c>
      <c r="O19" s="35"/>
      <c r="P19" s="37">
        <f>IFERROR(__xludf.DUMMYFUNCTION("""COMPUTED_VALUE"""),1400.0)</f>
        <v>1400</v>
      </c>
      <c r="Q19" s="37">
        <f>IFERROR(__xludf.DUMMYFUNCTION("""COMPUTED_VALUE"""),800.0)</f>
        <v>800</v>
      </c>
      <c r="R19" s="37"/>
      <c r="S19" s="38">
        <f>IFERROR(__xludf.DUMMYFUNCTION("""COMPUTED_VALUE"""),45116.0)</f>
        <v>45116</v>
      </c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IFERROR(__xludf.DUMMYFUNCTION("""COMPUTED_VALUE"""),"サントリー")</f>
        <v>サントリー</v>
      </c>
      <c r="C20" s="35" t="str">
        <f>IFERROR(__xludf.DUMMYFUNCTION("""COMPUTED_VALUE"""),"サントリー")</f>
        <v>サントリー</v>
      </c>
      <c r="D20" s="35"/>
      <c r="E20" s="35" t="str">
        <f>IFERROR(__xludf.DUMMYFUNCTION("""COMPUTED_VALUE"""),"ブレンデッド")</f>
        <v>ブレンデッド</v>
      </c>
      <c r="F20" s="35"/>
      <c r="G20" s="35" t="str">
        <f>IFERROR(__xludf.DUMMYFUNCTION("""COMPUTED_VALUE"""),"響 ブレンダーズチョイス")</f>
        <v>響 ブレンダーズチョイス</v>
      </c>
      <c r="H20" s="35"/>
      <c r="I20" s="35"/>
      <c r="J20" s="35"/>
      <c r="K20" s="35"/>
      <c r="L20" s="35" t="str">
        <f>IFERROR(__xludf.DUMMYFUNCTION("""COMPUTED_VALUE"""),"✓")</f>
        <v>✓</v>
      </c>
      <c r="M20" s="35"/>
      <c r="N20" s="36">
        <f>IFERROR(__xludf.DUMMYFUNCTION("""COMPUTED_VALUE"""),0.43)</f>
        <v>0.43</v>
      </c>
      <c r="O20" s="35"/>
      <c r="P20" s="37">
        <f>IFERROR(__xludf.DUMMYFUNCTION("""COMPUTED_VALUE"""),2600.0)</f>
        <v>2600</v>
      </c>
      <c r="Q20" s="37">
        <f>IFERROR(__xludf.DUMMYFUNCTION("""COMPUTED_VALUE"""),1400.0)</f>
        <v>1400</v>
      </c>
      <c r="R20" s="37"/>
      <c r="S20" s="38">
        <f>IFERROR(__xludf.DUMMYFUNCTION("""COMPUTED_VALUE"""),45128.0)</f>
        <v>45128</v>
      </c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IFERROR(__xludf.DUMMYFUNCTION("""COMPUTED_VALUE"""),"サントリー")</f>
        <v>サントリー</v>
      </c>
      <c r="C21" s="35" t="str">
        <f>IFERROR(__xludf.DUMMYFUNCTION("""COMPUTED_VALUE"""),"サントリー")</f>
        <v>サントリー</v>
      </c>
      <c r="D21" s="35"/>
      <c r="E21" s="35" t="str">
        <f>IFERROR(__xludf.DUMMYFUNCTION("""COMPUTED_VALUE"""),"ブレンデッド")</f>
        <v>ブレンデッド</v>
      </c>
      <c r="F21" s="35"/>
      <c r="G21" s="35" t="str">
        <f>IFERROR(__xludf.DUMMYFUNCTION("""COMPUTED_VALUE"""),"響 マスターズセレクト")</f>
        <v>響 マスターズセレクト</v>
      </c>
      <c r="H21" s="35" t="str">
        <f>IFERROR(__xludf.DUMMYFUNCTION("""COMPUTED_VALUE"""),"免税店限定")</f>
        <v>免税店限定</v>
      </c>
      <c r="I21" s="35"/>
      <c r="J21" s="35"/>
      <c r="K21" s="35"/>
      <c r="L21" s="35" t="str">
        <f>IFERROR(__xludf.DUMMYFUNCTION("""COMPUTED_VALUE"""),"✓")</f>
        <v>✓</v>
      </c>
      <c r="M21" s="35"/>
      <c r="N21" s="36">
        <f>IFERROR(__xludf.DUMMYFUNCTION("""COMPUTED_VALUE"""),0.43)</f>
        <v>0.43</v>
      </c>
      <c r="O21" s="35"/>
      <c r="P21" s="37">
        <f>IFERROR(__xludf.DUMMYFUNCTION("""COMPUTED_VALUE"""),3000.0)</f>
        <v>3000</v>
      </c>
      <c r="Q21" s="37">
        <f>IFERROR(__xludf.DUMMYFUNCTION("""COMPUTED_VALUE"""),1600.0)</f>
        <v>1600</v>
      </c>
      <c r="R21" s="37"/>
      <c r="S21" s="38">
        <f>IFERROR(__xludf.DUMMYFUNCTION("""COMPUTED_VALUE"""),45131.0)</f>
        <v>45131</v>
      </c>
      <c r="T21" s="35"/>
      <c r="U21" s="35"/>
      <c r="V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IFERROR(__xludf.DUMMYFUNCTION("""COMPUTED_VALUE"""),"サントリー")</f>
        <v>サントリー</v>
      </c>
      <c r="C22" s="35" t="str">
        <f>IFERROR(__xludf.DUMMYFUNCTION("""COMPUTED_VALUE"""),"サントリー")</f>
        <v>サントリー</v>
      </c>
      <c r="D22" s="35"/>
      <c r="E22" s="35" t="str">
        <f>IFERROR(__xludf.DUMMYFUNCTION("""COMPUTED_VALUE"""),"ブレンデッド")</f>
        <v>ブレンデッド</v>
      </c>
      <c r="F22" s="35"/>
      <c r="G22" s="35" t="str">
        <f>IFERROR(__xludf.DUMMYFUNCTION("""COMPUTED_VALUE"""),"響 12年")</f>
        <v>響 12年</v>
      </c>
      <c r="H22" s="35"/>
      <c r="I22" s="35"/>
      <c r="J22" s="35"/>
      <c r="K22" s="35"/>
      <c r="L22" s="35"/>
      <c r="M22" s="35"/>
      <c r="N22" s="36">
        <f>IFERROR(__xludf.DUMMYFUNCTION("""COMPUTED_VALUE"""),0.43)</f>
        <v>0.43</v>
      </c>
      <c r="O22" s="35"/>
      <c r="P22" s="37">
        <f>IFERROR(__xludf.DUMMYFUNCTION("""COMPUTED_VALUE"""),3500.0)</f>
        <v>3500</v>
      </c>
      <c r="Q22" s="37">
        <f>IFERROR(__xludf.DUMMYFUNCTION("""COMPUTED_VALUE"""),1900.0)</f>
        <v>1900</v>
      </c>
      <c r="R22" s="37"/>
      <c r="S22" s="38"/>
      <c r="T22" s="35"/>
      <c r="U22" s="35"/>
      <c r="V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IFERROR(__xludf.DUMMYFUNCTION("""COMPUTED_VALUE"""),"サントリー")</f>
        <v>サントリー</v>
      </c>
      <c r="C23" s="35" t="str">
        <f>IFERROR(__xludf.DUMMYFUNCTION("""COMPUTED_VALUE"""),"サントリー")</f>
        <v>サントリー</v>
      </c>
      <c r="D23" s="35"/>
      <c r="E23" s="35" t="str">
        <f>IFERROR(__xludf.DUMMYFUNCTION("""COMPUTED_VALUE"""),"ブレンデッド")</f>
        <v>ブレンデッド</v>
      </c>
      <c r="F23" s="35"/>
      <c r="G23" s="35" t="str">
        <f>IFERROR(__xludf.DUMMYFUNCTION("""COMPUTED_VALUE"""),"響 17年")</f>
        <v>響 17年</v>
      </c>
      <c r="H23" s="35"/>
      <c r="I23" s="35"/>
      <c r="J23" s="35"/>
      <c r="K23" s="35"/>
      <c r="L23" s="35"/>
      <c r="M23" s="35"/>
      <c r="N23" s="36">
        <f>IFERROR(__xludf.DUMMYFUNCTION("""COMPUTED_VALUE"""),0.43)</f>
        <v>0.43</v>
      </c>
      <c r="O23" s="35"/>
      <c r="P23" s="37">
        <f>IFERROR(__xludf.DUMMYFUNCTION("""COMPUTED_VALUE"""),5000.0)</f>
        <v>5000</v>
      </c>
      <c r="Q23" s="37">
        <f>IFERROR(__xludf.DUMMYFUNCTION("""COMPUTED_VALUE"""),2800.0)</f>
        <v>2800</v>
      </c>
      <c r="R23" s="37"/>
      <c r="S23" s="38">
        <f>IFERROR(__xludf.DUMMYFUNCTION("""COMPUTED_VALUE"""),45130.0)</f>
        <v>45130</v>
      </c>
      <c r="T23" s="35"/>
      <c r="U23" s="35"/>
      <c r="V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IFERROR(__xludf.DUMMYFUNCTION("""COMPUTED_VALUE"""),"サントリー")</f>
        <v>サントリー</v>
      </c>
      <c r="C24" s="35" t="str">
        <f>IFERROR(__xludf.DUMMYFUNCTION("""COMPUTED_VALUE"""),"サントリー")</f>
        <v>サントリー</v>
      </c>
      <c r="D24" s="35"/>
      <c r="E24" s="35" t="str">
        <f>IFERROR(__xludf.DUMMYFUNCTION("""COMPUTED_VALUE"""),"ブレンデッド")</f>
        <v>ブレンデッド</v>
      </c>
      <c r="F24" s="35"/>
      <c r="G24" s="35" t="str">
        <f>IFERROR(__xludf.DUMMYFUNCTION("""COMPUTED_VALUE"""),"響 21年")</f>
        <v>響 21年</v>
      </c>
      <c r="H24" s="35"/>
      <c r="I24" s="35"/>
      <c r="J24" s="35"/>
      <c r="K24" s="35"/>
      <c r="L24" s="35" t="str">
        <f>IFERROR(__xludf.DUMMYFUNCTION("""COMPUTED_VALUE"""),"✓")</f>
        <v>✓</v>
      </c>
      <c r="M24" s="35"/>
      <c r="N24" s="36">
        <f>IFERROR(__xludf.DUMMYFUNCTION("""COMPUTED_VALUE"""),0.43)</f>
        <v>0.43</v>
      </c>
      <c r="O24" s="35"/>
      <c r="P24" s="37"/>
      <c r="Q24" s="37"/>
      <c r="R24" s="37">
        <f>IFERROR(__xludf.DUMMYFUNCTION("""COMPUTED_VALUE"""),2200.0)</f>
        <v>2200</v>
      </c>
      <c r="S24" s="38">
        <f>IFERROR(__xludf.DUMMYFUNCTION("""COMPUTED_VALUE"""),45129.0)</f>
        <v>45129</v>
      </c>
      <c r="T24" s="35"/>
      <c r="U24" s="35"/>
      <c r="V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IFERROR(__xludf.DUMMYFUNCTION("""COMPUTED_VALUE"""),"サントリー")</f>
        <v>サントリー</v>
      </c>
      <c r="C25" s="35" t="str">
        <f>IFERROR(__xludf.DUMMYFUNCTION("""COMPUTED_VALUE"""),"サントリー")</f>
        <v>サントリー</v>
      </c>
      <c r="D25" s="35"/>
      <c r="E25" s="35" t="str">
        <f>IFERROR(__xludf.DUMMYFUNCTION("""COMPUTED_VALUE"""),"ブレンデッド")</f>
        <v>ブレンデッド</v>
      </c>
      <c r="F25" s="35"/>
      <c r="G25" s="35" t="str">
        <f>IFERROR(__xludf.DUMMYFUNCTION("""COMPUTED_VALUE"""),"碧Ao")</f>
        <v>碧Ao</v>
      </c>
      <c r="H25" s="35"/>
      <c r="I25" s="35"/>
      <c r="J25" s="35"/>
      <c r="K25" s="35"/>
      <c r="L25" s="35" t="str">
        <f>IFERROR(__xludf.DUMMYFUNCTION("""COMPUTED_VALUE"""),"✓")</f>
        <v>✓</v>
      </c>
      <c r="M25" s="35"/>
      <c r="N25" s="36">
        <f>IFERROR(__xludf.DUMMYFUNCTION("""COMPUTED_VALUE"""),0.43)</f>
        <v>0.43</v>
      </c>
      <c r="O25" s="35"/>
      <c r="P25" s="37">
        <f>IFERROR(__xludf.DUMMYFUNCTION("""COMPUTED_VALUE"""),1100.0)</f>
        <v>1100</v>
      </c>
      <c r="Q25" s="37">
        <f>IFERROR(__xludf.DUMMYFUNCTION("""COMPUTED_VALUE"""),650.0)</f>
        <v>650</v>
      </c>
      <c r="R25" s="37"/>
      <c r="S25" s="38">
        <f>IFERROR(__xludf.DUMMYFUNCTION("""COMPUTED_VALUE"""),45423.0)</f>
        <v>45423</v>
      </c>
      <c r="T25" s="35"/>
      <c r="U25" s="35"/>
      <c r="V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IFERROR(__xludf.DUMMYFUNCTION("""COMPUTED_VALUE"""),"サントリー")</f>
        <v>サントリー</v>
      </c>
      <c r="C26" s="35" t="str">
        <f>IFERROR(__xludf.DUMMYFUNCTION("""COMPUTED_VALUE"""),"サントリー")</f>
        <v>サントリー</v>
      </c>
      <c r="D26" s="35"/>
      <c r="E26" s="35" t="str">
        <f>IFERROR(__xludf.DUMMYFUNCTION("""COMPUTED_VALUE"""),"ブレンデッド")</f>
        <v>ブレンデッド</v>
      </c>
      <c r="F26" s="35"/>
      <c r="G26" s="35" t="str">
        <f>IFERROR(__xludf.DUMMYFUNCTION("""COMPUTED_VALUE"""),"碧Ao スモーキープレジャー")</f>
        <v>碧Ao スモーキープレジャー</v>
      </c>
      <c r="H26" s="35"/>
      <c r="I26" s="35"/>
      <c r="J26" s="35"/>
      <c r="K26" s="35"/>
      <c r="L26" s="35"/>
      <c r="M26" s="35"/>
      <c r="N26" s="36">
        <f>IFERROR(__xludf.DUMMYFUNCTION("""COMPUTED_VALUE"""),0.43)</f>
        <v>0.43</v>
      </c>
      <c r="O26" s="35"/>
      <c r="P26" s="37">
        <f>IFERROR(__xludf.DUMMYFUNCTION("""COMPUTED_VALUE"""),1200.0)</f>
        <v>1200</v>
      </c>
      <c r="Q26" s="37">
        <f>IFERROR(__xludf.DUMMYFUNCTION("""COMPUTED_VALUE"""),700.0)</f>
        <v>700</v>
      </c>
      <c r="R26" s="37"/>
      <c r="S26" s="38">
        <f>IFERROR(__xludf.DUMMYFUNCTION("""COMPUTED_VALUE"""),45425.0)</f>
        <v>45425</v>
      </c>
      <c r="T26" s="35"/>
      <c r="U26" s="35"/>
      <c r="V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IFERROR(__xludf.DUMMYFUNCTION("""COMPUTED_VALUE"""),"サントリー")</f>
        <v>サントリー</v>
      </c>
      <c r="C27" s="35" t="str">
        <f>IFERROR(__xludf.DUMMYFUNCTION("""COMPUTED_VALUE"""),"サントリー")</f>
        <v>サントリー</v>
      </c>
      <c r="D27" s="35"/>
      <c r="E27" s="35" t="str">
        <f>IFERROR(__xludf.DUMMYFUNCTION("""COMPUTED_VALUE"""),"ブレンデッド")</f>
        <v>ブレンデッド</v>
      </c>
      <c r="F27" s="35"/>
      <c r="G27" s="35" t="str">
        <f>IFERROR(__xludf.DUMMYFUNCTION("""COMPUTED_VALUE"""),"角瓶")</f>
        <v>角瓶</v>
      </c>
      <c r="H27" s="35"/>
      <c r="I27" s="35"/>
      <c r="J27" s="35"/>
      <c r="K27" s="35"/>
      <c r="L27" s="35" t="str">
        <f>IFERROR(__xludf.DUMMYFUNCTION("""COMPUTED_VALUE"""),"✓")</f>
        <v>✓</v>
      </c>
      <c r="M27" s="35"/>
      <c r="N27" s="36">
        <f>IFERROR(__xludf.DUMMYFUNCTION("""COMPUTED_VALUE"""),0.4)</f>
        <v>0.4</v>
      </c>
      <c r="O27" s="35"/>
      <c r="P27" s="37">
        <f>IFERROR(__xludf.DUMMYFUNCTION("""COMPUTED_VALUE"""),900.0)</f>
        <v>900</v>
      </c>
      <c r="Q27" s="37">
        <f>IFERROR(__xludf.DUMMYFUNCTION("""COMPUTED_VALUE"""),550.0)</f>
        <v>550</v>
      </c>
      <c r="R27" s="37"/>
      <c r="S27" s="38">
        <f>IFERROR(__xludf.DUMMYFUNCTION("""COMPUTED_VALUE"""),45367.0)</f>
        <v>45367</v>
      </c>
      <c r="T27" s="35"/>
      <c r="U27" s="35"/>
      <c r="V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IFERROR(__xludf.DUMMYFUNCTION("""COMPUTED_VALUE"""),"サントリー")</f>
        <v>サントリー</v>
      </c>
      <c r="C28" s="35" t="str">
        <f>IFERROR(__xludf.DUMMYFUNCTION("""COMPUTED_VALUE"""),"サントリー")</f>
        <v>サントリー</v>
      </c>
      <c r="D28" s="35"/>
      <c r="E28" s="35" t="str">
        <f>IFERROR(__xludf.DUMMYFUNCTION("""COMPUTED_VALUE"""),"ブレンデッド")</f>
        <v>ブレンデッド</v>
      </c>
      <c r="F28" s="35"/>
      <c r="G28" s="35" t="str">
        <f>IFERROR(__xludf.DUMMYFUNCTION("""COMPUTED_VALUE"""),"角瓶 黒")</f>
        <v>角瓶 黒</v>
      </c>
      <c r="H28" s="35"/>
      <c r="I28" s="35"/>
      <c r="J28" s="35"/>
      <c r="K28" s="35"/>
      <c r="L28" s="35"/>
      <c r="M28" s="35"/>
      <c r="N28" s="36">
        <f>IFERROR(__xludf.DUMMYFUNCTION("""COMPUTED_VALUE"""),0.43)</f>
        <v>0.43</v>
      </c>
      <c r="O28" s="35"/>
      <c r="P28" s="37">
        <f>IFERROR(__xludf.DUMMYFUNCTION("""COMPUTED_VALUE"""),1300.0)</f>
        <v>1300</v>
      </c>
      <c r="Q28" s="37">
        <f>IFERROR(__xludf.DUMMYFUNCTION("""COMPUTED_VALUE"""),750.0)</f>
        <v>750</v>
      </c>
      <c r="R28" s="37"/>
      <c r="S28" s="38">
        <f>IFERROR(__xludf.DUMMYFUNCTION("""COMPUTED_VALUE"""),45374.0)</f>
        <v>45374</v>
      </c>
      <c r="T28" s="35"/>
      <c r="U28" s="35"/>
      <c r="V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IFERROR(__xludf.DUMMYFUNCTION("""COMPUTED_VALUE"""),"サントリー")</f>
        <v>サントリー</v>
      </c>
      <c r="C29" s="35" t="str">
        <f>IFERROR(__xludf.DUMMYFUNCTION("""COMPUTED_VALUE"""),"サントリー")</f>
        <v>サントリー</v>
      </c>
      <c r="D29" s="35"/>
      <c r="E29" s="35" t="str">
        <f>IFERROR(__xludf.DUMMYFUNCTION("""COMPUTED_VALUE"""),"ブレンデッド")</f>
        <v>ブレンデッド</v>
      </c>
      <c r="F29" s="35"/>
      <c r="G29" s="35" t="str">
        <f>IFERROR(__xludf.DUMMYFUNCTION("""COMPUTED_VALUE"""),"角瓶 白")</f>
        <v>角瓶 白</v>
      </c>
      <c r="H29" s="35"/>
      <c r="I29" s="35"/>
      <c r="J29" s="35"/>
      <c r="K29" s="35"/>
      <c r="L29" s="35"/>
      <c r="M29" s="35"/>
      <c r="N29" s="36">
        <f>IFERROR(__xludf.DUMMYFUNCTION("""COMPUTED_VALUE"""),0.4)</f>
        <v>0.4</v>
      </c>
      <c r="O29" s="35"/>
      <c r="P29" s="37">
        <f>IFERROR(__xludf.DUMMYFUNCTION("""COMPUTED_VALUE"""),1100.0)</f>
        <v>1100</v>
      </c>
      <c r="Q29" s="37">
        <f>IFERROR(__xludf.DUMMYFUNCTION("""COMPUTED_VALUE"""),650.0)</f>
        <v>650</v>
      </c>
      <c r="R29" s="37"/>
      <c r="S29" s="38">
        <f>IFERROR(__xludf.DUMMYFUNCTION("""COMPUTED_VALUE"""),45206.0)</f>
        <v>45206</v>
      </c>
      <c r="T29" s="35"/>
      <c r="U29" s="35"/>
      <c r="V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IFERROR(__xludf.DUMMYFUNCTION("""COMPUTED_VALUE"""),"サントリー")</f>
        <v>サントリー</v>
      </c>
      <c r="C30" s="35" t="str">
        <f>IFERROR(__xludf.DUMMYFUNCTION("""COMPUTED_VALUE"""),"サントリー")</f>
        <v>サントリー</v>
      </c>
      <c r="D30" s="35"/>
      <c r="E30" s="35" t="str">
        <f>IFERROR(__xludf.DUMMYFUNCTION("""COMPUTED_VALUE"""),"ブレンデッド")</f>
        <v>ブレンデッド</v>
      </c>
      <c r="F30" s="35"/>
      <c r="G30" s="35" t="str">
        <f>IFERROR(__xludf.DUMMYFUNCTION("""COMPUTED_VALUE"""),"角瓶 味わい旨口")</f>
        <v>角瓶 味わい旨口</v>
      </c>
      <c r="H30" s="35"/>
      <c r="I30" s="35"/>
      <c r="J30" s="35"/>
      <c r="K30" s="35"/>
      <c r="L30" s="35"/>
      <c r="M30" s="35"/>
      <c r="N30" s="36">
        <f>IFERROR(__xludf.DUMMYFUNCTION("""COMPUTED_VALUE"""),0.4)</f>
        <v>0.4</v>
      </c>
      <c r="O30" s="35"/>
      <c r="P30" s="37">
        <f>IFERROR(__xludf.DUMMYFUNCTION("""COMPUTED_VALUE"""),1300.0)</f>
        <v>1300</v>
      </c>
      <c r="Q30" s="37">
        <f>IFERROR(__xludf.DUMMYFUNCTION("""COMPUTED_VALUE"""),750.0)</f>
        <v>750</v>
      </c>
      <c r="R30" s="37"/>
      <c r="S30" s="38">
        <f>IFERROR(__xludf.DUMMYFUNCTION("""COMPUTED_VALUE"""),45372.0)</f>
        <v>45372</v>
      </c>
      <c r="T30" s="35"/>
      <c r="U30" s="35"/>
      <c r="V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IFERROR(__xludf.DUMMYFUNCTION("""COMPUTED_VALUE"""),"サントリー")</f>
        <v>サントリー</v>
      </c>
      <c r="C31" s="35" t="str">
        <f>IFERROR(__xludf.DUMMYFUNCTION("""COMPUTED_VALUE"""),"サントリー")</f>
        <v>サントリー</v>
      </c>
      <c r="D31" s="35"/>
      <c r="E31" s="35" t="str">
        <f>IFERROR(__xludf.DUMMYFUNCTION("""COMPUTED_VALUE"""),"ブレンデッド")</f>
        <v>ブレンデッド</v>
      </c>
      <c r="F31" s="35"/>
      <c r="G31" s="35" t="str">
        <f>IFERROR(__xludf.DUMMYFUNCTION("""COMPUTED_VALUE"""),"特角 10年")</f>
        <v>特角 10年</v>
      </c>
      <c r="H31" s="35" t="str">
        <f>IFERROR(__xludf.DUMMYFUNCTION("""COMPUTED_VALUE"""),"角瓶発売60周年記念")</f>
        <v>角瓶発売60周年記念</v>
      </c>
      <c r="I31" s="35"/>
      <c r="J31" s="35"/>
      <c r="K31" s="35"/>
      <c r="L31" s="35"/>
      <c r="M31" s="35"/>
      <c r="N31" s="36">
        <f>IFERROR(__xludf.DUMMYFUNCTION("""COMPUTED_VALUE"""),0.43)</f>
        <v>0.43</v>
      </c>
      <c r="O31" s="35"/>
      <c r="P31" s="37">
        <f>IFERROR(__xludf.DUMMYFUNCTION("""COMPUTED_VALUE"""),2000.0)</f>
        <v>2000</v>
      </c>
      <c r="Q31" s="37">
        <f>IFERROR(__xludf.DUMMYFUNCTION("""COMPUTED_VALUE"""),1100.0)</f>
        <v>1100</v>
      </c>
      <c r="R31" s="37"/>
      <c r="S31" s="38">
        <f>IFERROR(__xludf.DUMMYFUNCTION("""COMPUTED_VALUE"""),45376.0)</f>
        <v>45376</v>
      </c>
      <c r="T31" s="35"/>
      <c r="U31" s="35"/>
      <c r="V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IFERROR(__xludf.DUMMYFUNCTION("""COMPUTED_VALUE"""),"サントリー")</f>
        <v>サントリー</v>
      </c>
      <c r="C32" s="35" t="str">
        <f>IFERROR(__xludf.DUMMYFUNCTION("""COMPUTED_VALUE"""),"サントリー")</f>
        <v>サントリー</v>
      </c>
      <c r="D32" s="35"/>
      <c r="E32" s="35" t="str">
        <f>IFERROR(__xludf.DUMMYFUNCTION("""COMPUTED_VALUE"""),"ブレンデッド")</f>
        <v>ブレンデッド</v>
      </c>
      <c r="F32" s="35"/>
      <c r="G32" s="35" t="str">
        <f>IFERROR(__xludf.DUMMYFUNCTION("""COMPUTED_VALUE"""),"季")</f>
        <v>季</v>
      </c>
      <c r="H32" s="35" t="str">
        <f>IFERROR(__xludf.DUMMYFUNCTION("""COMPUTED_VALUE"""),"北米限定")</f>
        <v>北米限定</v>
      </c>
      <c r="I32" s="35"/>
      <c r="J32" s="35"/>
      <c r="K32" s="35"/>
      <c r="L32" s="35" t="str">
        <f>IFERROR(__xludf.DUMMYFUNCTION("""COMPUTED_VALUE"""),"✓")</f>
        <v>✓</v>
      </c>
      <c r="M32" s="35"/>
      <c r="N32" s="36">
        <f>IFERROR(__xludf.DUMMYFUNCTION("""COMPUTED_VALUE"""),0.43)</f>
        <v>0.43</v>
      </c>
      <c r="O32" s="35"/>
      <c r="P32" s="37">
        <f>IFERROR(__xludf.DUMMYFUNCTION("""COMPUTED_VALUE"""),1500.0)</f>
        <v>1500</v>
      </c>
      <c r="Q32" s="37">
        <f>IFERROR(__xludf.DUMMYFUNCTION("""COMPUTED_VALUE"""),850.0)</f>
        <v>850</v>
      </c>
      <c r="R32" s="37"/>
      <c r="S32" s="38">
        <f>IFERROR(__xludf.DUMMYFUNCTION("""COMPUTED_VALUE"""),45132.0)</f>
        <v>45132</v>
      </c>
      <c r="T32" s="35"/>
      <c r="U32" s="35"/>
      <c r="V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IFERROR(__xludf.DUMMYFUNCTION("""COMPUTED_VALUE"""),"サントリー")</f>
        <v>サントリー</v>
      </c>
      <c r="C33" s="35" t="str">
        <f>IFERROR(__xludf.DUMMYFUNCTION("""COMPUTED_VALUE"""),"サントリー")</f>
        <v>サントリー</v>
      </c>
      <c r="D33" s="35"/>
      <c r="E33" s="35" t="str">
        <f>IFERROR(__xludf.DUMMYFUNCTION("""COMPUTED_VALUE"""),"ブレンデッド")</f>
        <v>ブレンデッド</v>
      </c>
      <c r="F33" s="35"/>
      <c r="G33" s="35" t="str">
        <f>IFERROR(__xludf.DUMMYFUNCTION("""COMPUTED_VALUE"""),"サントリーオールド")</f>
        <v>サントリーオールド</v>
      </c>
      <c r="H33" s="35"/>
      <c r="I33" s="35"/>
      <c r="J33" s="35"/>
      <c r="K33" s="35"/>
      <c r="L33" s="35" t="str">
        <f>IFERROR(__xludf.DUMMYFUNCTION("""COMPUTED_VALUE"""),"✓")</f>
        <v>✓</v>
      </c>
      <c r="M33" s="35"/>
      <c r="N33" s="36">
        <f>IFERROR(__xludf.DUMMYFUNCTION("""COMPUTED_VALUE"""),0.43)</f>
        <v>0.43</v>
      </c>
      <c r="O33" s="35"/>
      <c r="P33" s="37">
        <f>IFERROR(__xludf.DUMMYFUNCTION("""COMPUTED_VALUE"""),900.0)</f>
        <v>900</v>
      </c>
      <c r="Q33" s="37">
        <f>IFERROR(__xludf.DUMMYFUNCTION("""COMPUTED_VALUE"""),550.0)</f>
        <v>550</v>
      </c>
      <c r="R33" s="37"/>
      <c r="S33" s="38">
        <f>IFERROR(__xludf.DUMMYFUNCTION("""COMPUTED_VALUE"""),45136.0)</f>
        <v>45136</v>
      </c>
      <c r="T33" s="35"/>
      <c r="U33" s="35"/>
      <c r="V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IFERROR(__xludf.DUMMYFUNCTION("""COMPUTED_VALUE"""),"サントリー")</f>
        <v>サントリー</v>
      </c>
      <c r="C34" s="35" t="str">
        <f>IFERROR(__xludf.DUMMYFUNCTION("""COMPUTED_VALUE"""),"サントリー")</f>
        <v>サントリー</v>
      </c>
      <c r="D34" s="35"/>
      <c r="E34" s="35" t="str">
        <f>IFERROR(__xludf.DUMMYFUNCTION("""COMPUTED_VALUE"""),"ブレンデッド")</f>
        <v>ブレンデッド</v>
      </c>
      <c r="F34" s="35"/>
      <c r="G34" s="35" t="str">
        <f>IFERROR(__xludf.DUMMYFUNCTION("""COMPUTED_VALUE"""),"サントリーオールド 樽型ボトル")</f>
        <v>サントリーオールド 樽型ボトル</v>
      </c>
      <c r="H34" s="35" t="str">
        <f>IFERROR(__xludf.DUMMYFUNCTION("""COMPUTED_VALUE"""),"特級酒")</f>
        <v>特級酒</v>
      </c>
      <c r="I34" s="35"/>
      <c r="J34" s="35"/>
      <c r="K34" s="35"/>
      <c r="L34" s="35"/>
      <c r="M34" s="35"/>
      <c r="N34" s="36">
        <f>IFERROR(__xludf.DUMMYFUNCTION("""COMPUTED_VALUE"""),0.43)</f>
        <v>0.43</v>
      </c>
      <c r="O34" s="35"/>
      <c r="P34" s="37">
        <f>IFERROR(__xludf.DUMMYFUNCTION("""COMPUTED_VALUE"""),1300.0)</f>
        <v>1300</v>
      </c>
      <c r="Q34" s="37">
        <f>IFERROR(__xludf.DUMMYFUNCTION("""COMPUTED_VALUE"""),700.0)</f>
        <v>700</v>
      </c>
      <c r="R34" s="37"/>
      <c r="S34" s="38"/>
      <c r="T34" s="35"/>
      <c r="U34" s="35"/>
      <c r="V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IFERROR(__xludf.DUMMYFUNCTION("""COMPUTED_VALUE"""),"サントリー")</f>
        <v>サントリー</v>
      </c>
      <c r="C35" s="35" t="str">
        <f>IFERROR(__xludf.DUMMYFUNCTION("""COMPUTED_VALUE"""),"サントリー")</f>
        <v>サントリー</v>
      </c>
      <c r="D35" s="35"/>
      <c r="E35" s="35" t="str">
        <f>IFERROR(__xludf.DUMMYFUNCTION("""COMPUTED_VALUE"""),"ブレンデッド")</f>
        <v>ブレンデッド</v>
      </c>
      <c r="F35" s="35"/>
      <c r="G35" s="35" t="str">
        <f>IFERROR(__xludf.DUMMYFUNCTION("""COMPUTED_VALUE"""),"スペシャルリザーブ")</f>
        <v>スペシャルリザーブ</v>
      </c>
      <c r="H35" s="35"/>
      <c r="I35" s="35"/>
      <c r="J35" s="35"/>
      <c r="K35" s="35"/>
      <c r="L35" s="35" t="str">
        <f>IFERROR(__xludf.DUMMYFUNCTION("""COMPUTED_VALUE"""),"✓")</f>
        <v>✓</v>
      </c>
      <c r="M35" s="35"/>
      <c r="N35" s="36">
        <f>IFERROR(__xludf.DUMMYFUNCTION("""COMPUTED_VALUE"""),0.4)</f>
        <v>0.4</v>
      </c>
      <c r="O35" s="35"/>
      <c r="P35" s="37">
        <f>IFERROR(__xludf.DUMMYFUNCTION("""COMPUTED_VALUE"""),1000.0)</f>
        <v>1000</v>
      </c>
      <c r="Q35" s="37">
        <f>IFERROR(__xludf.DUMMYFUNCTION("""COMPUTED_VALUE"""),600.0)</f>
        <v>600</v>
      </c>
      <c r="R35" s="37"/>
      <c r="S35" s="38">
        <f>IFERROR(__xludf.DUMMYFUNCTION("""COMPUTED_VALUE"""),45601.0)</f>
        <v>45601</v>
      </c>
      <c r="T35" s="35"/>
      <c r="U35" s="35"/>
      <c r="V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IFERROR(__xludf.DUMMYFUNCTION("""COMPUTED_VALUE"""),"サントリー")</f>
        <v>サントリー</v>
      </c>
      <c r="C36" s="35" t="str">
        <f>IFERROR(__xludf.DUMMYFUNCTION("""COMPUTED_VALUE"""),"サントリー")</f>
        <v>サントリー</v>
      </c>
      <c r="D36" s="35"/>
      <c r="E36" s="35" t="str">
        <f>IFERROR(__xludf.DUMMYFUNCTION("""COMPUTED_VALUE"""),"ブレンデッド")</f>
        <v>ブレンデッド</v>
      </c>
      <c r="F36" s="35"/>
      <c r="G36" s="35" t="str">
        <f>IFERROR(__xludf.DUMMYFUNCTION("""COMPUTED_VALUE"""),"スペシャルリザーブ")</f>
        <v>スペシャルリザーブ</v>
      </c>
      <c r="H36" s="35" t="str">
        <f>IFERROR(__xludf.DUMMYFUNCTION("""COMPUTED_VALUE"""),"特級酒")</f>
        <v>特級酒</v>
      </c>
      <c r="I36" s="35"/>
      <c r="J36" s="35"/>
      <c r="K36" s="35"/>
      <c r="L36" s="35"/>
      <c r="M36" s="35"/>
      <c r="N36" s="36">
        <f>IFERROR(__xludf.DUMMYFUNCTION("""COMPUTED_VALUE"""),0.43)</f>
        <v>0.43</v>
      </c>
      <c r="O36" s="35"/>
      <c r="P36" s="37">
        <f>IFERROR(__xludf.DUMMYFUNCTION("""COMPUTED_VALUE"""),1500.0)</f>
        <v>1500</v>
      </c>
      <c r="Q36" s="37">
        <f>IFERROR(__xludf.DUMMYFUNCTION("""COMPUTED_VALUE"""),850.0)</f>
        <v>850</v>
      </c>
      <c r="R36" s="37"/>
      <c r="S36" s="38">
        <f>IFERROR(__xludf.DUMMYFUNCTION("""COMPUTED_VALUE"""),45138.0)</f>
        <v>45138</v>
      </c>
      <c r="T36" s="35"/>
      <c r="U36" s="35"/>
      <c r="V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IFERROR(__xludf.DUMMYFUNCTION("""COMPUTED_VALUE"""),"サントリー")</f>
        <v>サントリー</v>
      </c>
      <c r="C37" s="35" t="str">
        <f>IFERROR(__xludf.DUMMYFUNCTION("""COMPUTED_VALUE"""),"サントリー")</f>
        <v>サントリー</v>
      </c>
      <c r="D37" s="35"/>
      <c r="E37" s="35" t="str">
        <f>IFERROR(__xludf.DUMMYFUNCTION("""COMPUTED_VALUE"""),"ブレンデッド")</f>
        <v>ブレンデッド</v>
      </c>
      <c r="F37" s="35"/>
      <c r="G37" s="35" t="str">
        <f>IFERROR(__xludf.DUMMYFUNCTION("""COMPUTED_VALUE"""),"スペシャルリザーブ シルキー")</f>
        <v>スペシャルリザーブ シルキー</v>
      </c>
      <c r="H37" s="35" t="str">
        <f>IFERROR(__xludf.DUMMYFUNCTION("""COMPUTED_VALUE"""),"特級酒")</f>
        <v>特級酒</v>
      </c>
      <c r="I37" s="35"/>
      <c r="J37" s="35"/>
      <c r="K37" s="35"/>
      <c r="L37" s="35"/>
      <c r="M37" s="35"/>
      <c r="N37" s="36">
        <f>IFERROR(__xludf.DUMMYFUNCTION("""COMPUTED_VALUE"""),0.43)</f>
        <v>0.43</v>
      </c>
      <c r="O37" s="35"/>
      <c r="P37" s="37">
        <f>IFERROR(__xludf.DUMMYFUNCTION("""COMPUTED_VALUE"""),1500.0)</f>
        <v>1500</v>
      </c>
      <c r="Q37" s="37">
        <f>IFERROR(__xludf.DUMMYFUNCTION("""COMPUTED_VALUE"""),850.0)</f>
        <v>850</v>
      </c>
      <c r="R37" s="37"/>
      <c r="S37" s="38">
        <f>IFERROR(__xludf.DUMMYFUNCTION("""COMPUTED_VALUE"""),45157.0)</f>
        <v>45157</v>
      </c>
      <c r="T37" s="35"/>
      <c r="U37" s="35"/>
      <c r="V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IFERROR(__xludf.DUMMYFUNCTION("""COMPUTED_VALUE"""),"サントリー")</f>
        <v>サントリー</v>
      </c>
      <c r="C38" s="35" t="str">
        <f>IFERROR(__xludf.DUMMYFUNCTION("""COMPUTED_VALUE"""),"サントリー")</f>
        <v>サントリー</v>
      </c>
      <c r="D38" s="35"/>
      <c r="E38" s="35" t="str">
        <f>IFERROR(__xludf.DUMMYFUNCTION("""COMPUTED_VALUE"""),"ブレンデッド")</f>
        <v>ブレンデッド</v>
      </c>
      <c r="F38" s="35"/>
      <c r="G38" s="35" t="str">
        <f>IFERROR(__xludf.DUMMYFUNCTION("""COMPUTED_VALUE"""),"スペシャルリザーブ 10年 シェリー樽仕上げ")</f>
        <v>スペシャルリザーブ 10年 シェリー樽仕上げ</v>
      </c>
      <c r="H38" s="35"/>
      <c r="I38" s="35"/>
      <c r="J38" s="35"/>
      <c r="K38" s="35"/>
      <c r="L38" s="35"/>
      <c r="M38" s="35"/>
      <c r="N38" s="36">
        <f>IFERROR(__xludf.DUMMYFUNCTION("""COMPUTED_VALUE"""),0.4)</f>
        <v>0.4</v>
      </c>
      <c r="O38" s="35"/>
      <c r="P38" s="37">
        <f>IFERROR(__xludf.DUMMYFUNCTION("""COMPUTED_VALUE"""),1500.0)</f>
        <v>1500</v>
      </c>
      <c r="Q38" s="37">
        <f>IFERROR(__xludf.DUMMYFUNCTION("""COMPUTED_VALUE"""),850.0)</f>
        <v>850</v>
      </c>
      <c r="R38" s="37"/>
      <c r="S38" s="38">
        <f>IFERROR(__xludf.DUMMYFUNCTION("""COMPUTED_VALUE"""),45152.0)</f>
        <v>45152</v>
      </c>
      <c r="T38" s="35"/>
      <c r="U38" s="35"/>
      <c r="V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IFERROR(__xludf.DUMMYFUNCTION("""COMPUTED_VALUE"""),"サントリー")</f>
        <v>サントリー</v>
      </c>
      <c r="C39" s="35" t="str">
        <f>IFERROR(__xludf.DUMMYFUNCTION("""COMPUTED_VALUE"""),"サントリー")</f>
        <v>サントリー</v>
      </c>
      <c r="D39" s="35"/>
      <c r="E39" s="35" t="str">
        <f>IFERROR(__xludf.DUMMYFUNCTION("""COMPUTED_VALUE"""),"ブレンデッド")</f>
        <v>ブレンデッド</v>
      </c>
      <c r="F39" s="35"/>
      <c r="G39" s="35" t="str">
        <f>IFERROR(__xludf.DUMMYFUNCTION("""COMPUTED_VALUE"""),"ローヤル")</f>
        <v>ローヤル</v>
      </c>
      <c r="H39" s="35"/>
      <c r="I39" s="35"/>
      <c r="J39" s="35"/>
      <c r="K39" s="35"/>
      <c r="L39" s="35" t="str">
        <f>IFERROR(__xludf.DUMMYFUNCTION("""COMPUTED_VALUE"""),"✓")</f>
        <v>✓</v>
      </c>
      <c r="M39" s="35"/>
      <c r="N39" s="36">
        <f>IFERROR(__xludf.DUMMYFUNCTION("""COMPUTED_VALUE"""),0.43)</f>
        <v>0.43</v>
      </c>
      <c r="O39" s="35"/>
      <c r="P39" s="37">
        <f>IFERROR(__xludf.DUMMYFUNCTION("""COMPUTED_VALUE"""),1000.0)</f>
        <v>1000</v>
      </c>
      <c r="Q39" s="37">
        <f>IFERROR(__xludf.DUMMYFUNCTION("""COMPUTED_VALUE"""),600.0)</f>
        <v>600</v>
      </c>
      <c r="R39" s="37"/>
      <c r="S39" s="38">
        <f>IFERROR(__xludf.DUMMYFUNCTION("""COMPUTED_VALUE"""),45598.0)</f>
        <v>45598</v>
      </c>
      <c r="T39" s="35"/>
      <c r="U39" s="35"/>
      <c r="V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IFERROR(__xludf.DUMMYFUNCTION("""COMPUTED_VALUE"""),"サントリー")</f>
        <v>サントリー</v>
      </c>
      <c r="C40" s="35" t="str">
        <f>IFERROR(__xludf.DUMMYFUNCTION("""COMPUTED_VALUE"""),"サントリー")</f>
        <v>サントリー</v>
      </c>
      <c r="D40" s="35"/>
      <c r="E40" s="35" t="str">
        <f>IFERROR(__xludf.DUMMYFUNCTION("""COMPUTED_VALUE"""),"ブレンデッド")</f>
        <v>ブレンデッド</v>
      </c>
      <c r="F40" s="35"/>
      <c r="G40" s="35" t="str">
        <f>IFERROR(__xludf.DUMMYFUNCTION("""COMPUTED_VALUE"""),"ローヤル 60ラベル")</f>
        <v>ローヤル 60ラベル</v>
      </c>
      <c r="H40" s="35" t="str">
        <f>IFERROR(__xludf.DUMMYFUNCTION("""COMPUTED_VALUE"""),"特級酒")</f>
        <v>特級酒</v>
      </c>
      <c r="I40" s="35"/>
      <c r="J40" s="35"/>
      <c r="K40" s="35"/>
      <c r="L40" s="35"/>
      <c r="M40" s="35"/>
      <c r="N40" s="36">
        <f>IFERROR(__xludf.DUMMYFUNCTION("""COMPUTED_VALUE"""),0.43)</f>
        <v>0.43</v>
      </c>
      <c r="O40" s="35"/>
      <c r="P40" s="37">
        <f>IFERROR(__xludf.DUMMYFUNCTION("""COMPUTED_VALUE"""),1500.0)</f>
        <v>1500</v>
      </c>
      <c r="Q40" s="37">
        <f>IFERROR(__xludf.DUMMYFUNCTION("""COMPUTED_VALUE"""),850.0)</f>
        <v>850</v>
      </c>
      <c r="R40" s="37"/>
      <c r="S40" s="38">
        <f>IFERROR(__xludf.DUMMYFUNCTION("""COMPUTED_VALUE"""),45148.0)</f>
        <v>45148</v>
      </c>
      <c r="T40" s="35"/>
      <c r="U40" s="35"/>
      <c r="V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IFERROR(__xludf.DUMMYFUNCTION("""COMPUTED_VALUE"""),"サントリー")</f>
        <v>サントリー</v>
      </c>
      <c r="C41" s="35" t="str">
        <f>IFERROR(__xludf.DUMMYFUNCTION("""COMPUTED_VALUE"""),"サントリー")</f>
        <v>サントリー</v>
      </c>
      <c r="D41" s="35"/>
      <c r="E41" s="35" t="str">
        <f>IFERROR(__xludf.DUMMYFUNCTION("""COMPUTED_VALUE"""),"ブレンデッド")</f>
        <v>ブレンデッド</v>
      </c>
      <c r="F41" s="35"/>
      <c r="G41" s="35" t="str">
        <f>IFERROR(__xludf.DUMMYFUNCTION("""COMPUTED_VALUE"""),"ローヤル 12年")</f>
        <v>ローヤル 12年</v>
      </c>
      <c r="H41" s="35"/>
      <c r="I41" s="35"/>
      <c r="J41" s="35"/>
      <c r="K41" s="35"/>
      <c r="L41" s="35"/>
      <c r="M41" s="35"/>
      <c r="N41" s="36">
        <f>IFERROR(__xludf.DUMMYFUNCTION("""COMPUTED_VALUE"""),0.43)</f>
        <v>0.43</v>
      </c>
      <c r="O41" s="35"/>
      <c r="P41" s="37">
        <f>IFERROR(__xludf.DUMMYFUNCTION("""COMPUTED_VALUE"""),1800.0)</f>
        <v>1800</v>
      </c>
      <c r="Q41" s="37">
        <f>IFERROR(__xludf.DUMMYFUNCTION("""COMPUTED_VALUE"""),1000.0)</f>
        <v>1000</v>
      </c>
      <c r="R41" s="37"/>
      <c r="S41" s="38">
        <f>IFERROR(__xludf.DUMMYFUNCTION("""COMPUTED_VALUE"""),45315.0)</f>
        <v>45315</v>
      </c>
      <c r="T41" s="35"/>
      <c r="U41" s="35"/>
      <c r="V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IFERROR(__xludf.DUMMYFUNCTION("""COMPUTED_VALUE"""),"サントリー")</f>
        <v>サントリー</v>
      </c>
      <c r="C42" s="35" t="str">
        <f>IFERROR(__xludf.DUMMYFUNCTION("""COMPUTED_VALUE"""),"サントリー")</f>
        <v>サントリー</v>
      </c>
      <c r="D42" s="35"/>
      <c r="E42" s="35" t="str">
        <f>IFERROR(__xludf.DUMMYFUNCTION("""COMPUTED_VALUE"""),"ブレンデッド")</f>
        <v>ブレンデッド</v>
      </c>
      <c r="F42" s="35"/>
      <c r="G42" s="35" t="str">
        <f>IFERROR(__xludf.DUMMYFUNCTION("""COMPUTED_VALUE"""),"ローヤル 15年")</f>
        <v>ローヤル 15年</v>
      </c>
      <c r="H42" s="35"/>
      <c r="I42" s="35"/>
      <c r="J42" s="35"/>
      <c r="K42" s="35"/>
      <c r="L42" s="35"/>
      <c r="M42" s="35"/>
      <c r="N42" s="36">
        <f>IFERROR(__xludf.DUMMYFUNCTION("""COMPUTED_VALUE"""),0.43)</f>
        <v>0.43</v>
      </c>
      <c r="O42" s="35"/>
      <c r="P42" s="37">
        <f>IFERROR(__xludf.DUMMYFUNCTION("""COMPUTED_VALUE"""),2200.0)</f>
        <v>2200</v>
      </c>
      <c r="Q42" s="37">
        <f>IFERROR(__xludf.DUMMYFUNCTION("""COMPUTED_VALUE"""),1200.0)</f>
        <v>1200</v>
      </c>
      <c r="R42" s="37"/>
      <c r="S42" s="38">
        <f>IFERROR(__xludf.DUMMYFUNCTION("""COMPUTED_VALUE"""),45317.0)</f>
        <v>45317</v>
      </c>
      <c r="T42" s="35"/>
      <c r="U42" s="35"/>
      <c r="V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IFERROR(__xludf.DUMMYFUNCTION("""COMPUTED_VALUE"""),"サントリー")</f>
        <v>サントリー</v>
      </c>
      <c r="C43" s="35" t="str">
        <f>IFERROR(__xludf.DUMMYFUNCTION("""COMPUTED_VALUE"""),"サントリー")</f>
        <v>サントリー</v>
      </c>
      <c r="D43" s="35"/>
      <c r="E43" s="35" t="str">
        <f>IFERROR(__xludf.DUMMYFUNCTION("""COMPUTED_VALUE"""),"ブレンデッド")</f>
        <v>ブレンデッド</v>
      </c>
      <c r="F43" s="35"/>
      <c r="G43" s="35" t="str">
        <f>IFERROR(__xludf.DUMMYFUNCTION("""COMPUTED_VALUE"""),"ローヤルプレミアム 15年")</f>
        <v>ローヤルプレミアム 15年</v>
      </c>
      <c r="H43" s="35"/>
      <c r="I43" s="35"/>
      <c r="J43" s="35"/>
      <c r="K43" s="35"/>
      <c r="L43" s="35"/>
      <c r="M43" s="35"/>
      <c r="N43" s="36">
        <f>IFERROR(__xludf.DUMMYFUNCTION("""COMPUTED_VALUE"""),0.43)</f>
        <v>0.43</v>
      </c>
      <c r="O43" s="35"/>
      <c r="P43" s="37">
        <f>IFERROR(__xludf.DUMMYFUNCTION("""COMPUTED_VALUE"""),2200.0)</f>
        <v>2200</v>
      </c>
      <c r="Q43" s="37">
        <f>IFERROR(__xludf.DUMMYFUNCTION("""COMPUTED_VALUE"""),1200.0)</f>
        <v>1200</v>
      </c>
      <c r="R43" s="37"/>
      <c r="S43" s="38">
        <f>IFERROR(__xludf.DUMMYFUNCTION("""COMPUTED_VALUE"""),45154.0)</f>
        <v>45154</v>
      </c>
      <c r="T43" s="35"/>
      <c r="U43" s="35"/>
      <c r="V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IFERROR(__xludf.DUMMYFUNCTION("""COMPUTED_VALUE"""),"サントリー")</f>
        <v>サントリー</v>
      </c>
      <c r="C44" s="35" t="str">
        <f>IFERROR(__xludf.DUMMYFUNCTION("""COMPUTED_VALUE"""),"サントリー")</f>
        <v>サントリー</v>
      </c>
      <c r="D44" s="35"/>
      <c r="E44" s="35" t="str">
        <f>IFERROR(__xludf.DUMMYFUNCTION("""COMPUTED_VALUE"""),"ブレンデッド")</f>
        <v>ブレンデッド</v>
      </c>
      <c r="F44" s="35"/>
      <c r="G44" s="35" t="str">
        <f>IFERROR(__xludf.DUMMYFUNCTION("""COMPUTED_VALUE"""),"ホワイト")</f>
        <v>ホワイト</v>
      </c>
      <c r="H44" s="35"/>
      <c r="I44" s="35"/>
      <c r="J44" s="35"/>
      <c r="K44" s="35"/>
      <c r="L44" s="35" t="str">
        <f>IFERROR(__xludf.DUMMYFUNCTION("""COMPUTED_VALUE"""),"✓")</f>
        <v>✓</v>
      </c>
      <c r="M44" s="35"/>
      <c r="N44" s="36">
        <f>IFERROR(__xludf.DUMMYFUNCTION("""COMPUTED_VALUE"""),0.4)</f>
        <v>0.4</v>
      </c>
      <c r="O44" s="35"/>
      <c r="P44" s="37">
        <f>IFERROR(__xludf.DUMMYFUNCTION("""COMPUTED_VALUE"""),900.0)</f>
        <v>900</v>
      </c>
      <c r="Q44" s="37">
        <f>IFERROR(__xludf.DUMMYFUNCTION("""COMPUTED_VALUE"""),550.0)</f>
        <v>550</v>
      </c>
      <c r="R44" s="37"/>
      <c r="S44" s="38"/>
      <c r="T44" s="35"/>
      <c r="U44" s="35"/>
      <c r="V44" s="35"/>
    </row>
    <row r="45" ht="15.75" customHeight="1">
      <c r="A45" s="35" t="str">
        <f>IFERROR(__xludf.DUMMYFUNCTION("""COMPUTED_VALUE"""),"JP")</f>
        <v>JP</v>
      </c>
      <c r="B45" s="35" t="str">
        <f>IFERROR(__xludf.DUMMYFUNCTION("""COMPUTED_VALUE"""),"サントリー")</f>
        <v>サントリー</v>
      </c>
      <c r="C45" s="35" t="str">
        <f>IFERROR(__xludf.DUMMYFUNCTION("""COMPUTED_VALUE"""),"サントリー")</f>
        <v>サントリー</v>
      </c>
      <c r="D45" s="35"/>
      <c r="E45" s="35" t="str">
        <f>IFERROR(__xludf.DUMMYFUNCTION("""COMPUTED_VALUE"""),"ブレンデッド")</f>
        <v>ブレンデッド</v>
      </c>
      <c r="F45" s="35"/>
      <c r="G45" s="35" t="str">
        <f>IFERROR(__xludf.DUMMYFUNCTION("""COMPUTED_VALUE"""),"レッド")</f>
        <v>レッド</v>
      </c>
      <c r="H45" s="35" t="str">
        <f>IFERROR(__xludf.DUMMYFUNCTION("""COMPUTED_VALUE"""),"2級酒")</f>
        <v>2級酒</v>
      </c>
      <c r="I45" s="35"/>
      <c r="J45" s="35"/>
      <c r="K45" s="35"/>
      <c r="L45" s="35"/>
      <c r="M45" s="35"/>
      <c r="N45" s="36">
        <f>IFERROR(__xludf.DUMMYFUNCTION("""COMPUTED_VALUE"""),0.39)</f>
        <v>0.39</v>
      </c>
      <c r="O45" s="35"/>
      <c r="P45" s="37">
        <f>IFERROR(__xludf.DUMMYFUNCTION("""COMPUTED_VALUE"""),1000.0)</f>
        <v>1000</v>
      </c>
      <c r="Q45" s="37">
        <f>IFERROR(__xludf.DUMMYFUNCTION("""COMPUTED_VALUE"""),600.0)</f>
        <v>600</v>
      </c>
      <c r="R45" s="37"/>
      <c r="S45" s="38"/>
      <c r="T45" s="35"/>
      <c r="U45" s="35"/>
      <c r="V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IFERROR(__xludf.DUMMYFUNCTION("""COMPUTED_VALUE"""),"サントリー")</f>
        <v>サントリー</v>
      </c>
      <c r="C46" s="35" t="str">
        <f>IFERROR(__xludf.DUMMYFUNCTION("""COMPUTED_VALUE"""),"サントリー")</f>
        <v>サントリー</v>
      </c>
      <c r="D46" s="35"/>
      <c r="E46" s="35" t="str">
        <f>IFERROR(__xludf.DUMMYFUNCTION("""COMPUTED_VALUE"""),"ブレンデッド")</f>
        <v>ブレンデッド</v>
      </c>
      <c r="F46" s="35"/>
      <c r="G46" s="35" t="str">
        <f>IFERROR(__xludf.DUMMYFUNCTION("""COMPUTED_VALUE"""),"ブレンデッド リッチタイプ 2019")</f>
        <v>ブレンデッド リッチタイプ 2019</v>
      </c>
      <c r="H46" s="35" t="str">
        <f>IFERROR(__xludf.DUMMYFUNCTION("""COMPUTED_VALUE"""),"エッセンスオブサントリー")</f>
        <v>エッセンスオブサントリー</v>
      </c>
      <c r="I46" s="35"/>
      <c r="J46" s="35"/>
      <c r="K46" s="35"/>
      <c r="L46" s="35"/>
      <c r="M46" s="35"/>
      <c r="N46" s="36">
        <f>IFERROR(__xludf.DUMMYFUNCTION("""COMPUTED_VALUE"""),0.48)</f>
        <v>0.48</v>
      </c>
      <c r="O46" s="35"/>
      <c r="P46" s="37">
        <f>IFERROR(__xludf.DUMMYFUNCTION("""COMPUTED_VALUE"""),2200.0)</f>
        <v>2200</v>
      </c>
      <c r="Q46" s="37">
        <f>IFERROR(__xludf.DUMMYFUNCTION("""COMPUTED_VALUE"""),1200.0)</f>
        <v>1200</v>
      </c>
      <c r="R46" s="37"/>
      <c r="S46" s="38">
        <f>IFERROR(__xludf.DUMMYFUNCTION("""COMPUTED_VALUE"""),45434.0)</f>
        <v>45434</v>
      </c>
      <c r="T46" s="35"/>
      <c r="U46" s="35"/>
      <c r="V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IFERROR(__xludf.DUMMYFUNCTION("""COMPUTED_VALUE"""),"サントリー")</f>
        <v>サントリー</v>
      </c>
      <c r="C47" s="35" t="str">
        <f>IFERROR(__xludf.DUMMYFUNCTION("""COMPUTED_VALUE"""),"サントリー")</f>
        <v>サントリー</v>
      </c>
      <c r="D47" s="35"/>
      <c r="E47" s="35" t="str">
        <f>IFERROR(__xludf.DUMMYFUNCTION("""COMPUTED_VALUE"""),"ブレンデッド")</f>
        <v>ブレンデッド</v>
      </c>
      <c r="F47" s="35"/>
      <c r="G47" s="35" t="str">
        <f>IFERROR(__xludf.DUMMYFUNCTION("""COMPUTED_VALUE"""),"21 ライト&amp;スムース")</f>
        <v>21 ライト&amp;スムース</v>
      </c>
      <c r="H47" s="35" t="str">
        <f>IFERROR(__xludf.DUMMYFUNCTION("""COMPUTED_VALUE"""),"特級酒")</f>
        <v>特級酒</v>
      </c>
      <c r="I47" s="35"/>
      <c r="J47" s="35"/>
      <c r="K47" s="35"/>
      <c r="L47" s="35"/>
      <c r="M47" s="35"/>
      <c r="N47" s="36">
        <f>IFERROR(__xludf.DUMMYFUNCTION("""COMPUTED_VALUE"""),0.4)</f>
        <v>0.4</v>
      </c>
      <c r="O47" s="35"/>
      <c r="P47" s="37">
        <f>IFERROR(__xludf.DUMMYFUNCTION("""COMPUTED_VALUE"""),1500.0)</f>
        <v>1500</v>
      </c>
      <c r="Q47" s="37">
        <f>IFERROR(__xludf.DUMMYFUNCTION("""COMPUTED_VALUE"""),850.0)</f>
        <v>850</v>
      </c>
      <c r="R47" s="37"/>
      <c r="S47" s="38"/>
      <c r="T47" s="35"/>
      <c r="U47" s="35"/>
      <c r="V47" s="35"/>
    </row>
    <row r="48" ht="15.75" customHeight="1">
      <c r="A48" s="35" t="str">
        <f>IFERROR(__xludf.DUMMYFUNCTION("""COMPUTED_VALUE"""),"JP")</f>
        <v>JP</v>
      </c>
      <c r="B48" s="35" t="str">
        <f>IFERROR(__xludf.DUMMYFUNCTION("""COMPUTED_VALUE"""),"サントリー")</f>
        <v>サントリー</v>
      </c>
      <c r="C48" s="35" t="str">
        <f>IFERROR(__xludf.DUMMYFUNCTION("""COMPUTED_VALUE"""),"サントリー")</f>
        <v>サントリー</v>
      </c>
      <c r="D48" s="35"/>
      <c r="E48" s="35" t="str">
        <f>IFERROR(__xludf.DUMMYFUNCTION("""COMPUTED_VALUE"""),"ブレンデッド")</f>
        <v>ブレンデッド</v>
      </c>
      <c r="F48" s="35"/>
      <c r="G48" s="35" t="str">
        <f>IFERROR(__xludf.DUMMYFUNCTION("""COMPUTED_VALUE"""),"Q")</f>
        <v>Q</v>
      </c>
      <c r="H48" s="35" t="str">
        <f>IFERROR(__xludf.DUMMYFUNCTION("""COMPUTED_VALUE"""),"1級酒")</f>
        <v>1級酒</v>
      </c>
      <c r="I48" s="35"/>
      <c r="J48" s="35"/>
      <c r="K48" s="35"/>
      <c r="L48" s="35"/>
      <c r="M48" s="35"/>
      <c r="N48" s="36">
        <f>IFERROR(__xludf.DUMMYFUNCTION("""COMPUTED_VALUE"""),0.4)</f>
        <v>0.4</v>
      </c>
      <c r="O48" s="35"/>
      <c r="P48" s="37">
        <f>IFERROR(__xludf.DUMMYFUNCTION("""COMPUTED_VALUE"""),1100.0)</f>
        <v>1100</v>
      </c>
      <c r="Q48" s="37">
        <f>IFERROR(__xludf.DUMMYFUNCTION("""COMPUTED_VALUE"""),650.0)</f>
        <v>650</v>
      </c>
      <c r="R48" s="37"/>
      <c r="S48" s="38"/>
      <c r="T48" s="35"/>
      <c r="U48" s="35"/>
      <c r="V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IFERROR(__xludf.DUMMYFUNCTION("""COMPUTED_VALUE"""),"サントリー")</f>
        <v>サントリー</v>
      </c>
      <c r="C49" s="35" t="str">
        <f>IFERROR(__xludf.DUMMYFUNCTION("""COMPUTED_VALUE"""),"サントリー")</f>
        <v>サントリー</v>
      </c>
      <c r="D49" s="35"/>
      <c r="E49" s="35" t="str">
        <f>IFERROR(__xludf.DUMMYFUNCTION("""COMPUTED_VALUE"""),"ブレンデッド")</f>
        <v>ブレンデッド</v>
      </c>
      <c r="F49" s="35"/>
      <c r="G49" s="35" t="str">
        <f>IFERROR(__xludf.DUMMYFUNCTION("""COMPUTED_VALUE"""),"エイジング 15年")</f>
        <v>エイジング 15年</v>
      </c>
      <c r="H49" s="35" t="str">
        <f>IFERROR(__xludf.DUMMYFUNCTION("""COMPUTED_VALUE"""),"特級酒")</f>
        <v>特級酒</v>
      </c>
      <c r="I49" s="35"/>
      <c r="J49" s="35"/>
      <c r="K49" s="35"/>
      <c r="L49" s="35"/>
      <c r="M49" s="35"/>
      <c r="N49" s="36">
        <f>IFERROR(__xludf.DUMMYFUNCTION("""COMPUTED_VALUE"""),0.43)</f>
        <v>0.43</v>
      </c>
      <c r="O49" s="35"/>
      <c r="P49" s="37">
        <f>IFERROR(__xludf.DUMMYFUNCTION("""COMPUTED_VALUE"""),2200.0)</f>
        <v>2200</v>
      </c>
      <c r="Q49" s="37">
        <f>IFERROR(__xludf.DUMMYFUNCTION("""COMPUTED_VALUE"""),1200.0)</f>
        <v>1200</v>
      </c>
      <c r="R49" s="37"/>
      <c r="S49" s="38">
        <f>IFERROR(__xludf.DUMMYFUNCTION("""COMPUTED_VALUE"""),45258.0)</f>
        <v>45258</v>
      </c>
      <c r="T49" s="35"/>
      <c r="U49" s="35"/>
      <c r="V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IFERROR(__xludf.DUMMYFUNCTION("""COMPUTED_VALUE"""),"サントリー")</f>
        <v>サントリー</v>
      </c>
      <c r="C50" s="35" t="str">
        <f>IFERROR(__xludf.DUMMYFUNCTION("""COMPUTED_VALUE"""),"サントリー")</f>
        <v>サントリー</v>
      </c>
      <c r="D50" s="35"/>
      <c r="E50" s="35" t="str">
        <f>IFERROR(__xludf.DUMMYFUNCTION("""COMPUTED_VALUE"""),"ブレンデッド")</f>
        <v>ブレンデッド</v>
      </c>
      <c r="F50" s="35"/>
      <c r="G50" s="35" t="str">
        <f>IFERROR(__xludf.DUMMYFUNCTION("""COMPUTED_VALUE"""),"エクストラゴールド")</f>
        <v>エクストラゴールド</v>
      </c>
      <c r="H50" s="35" t="str">
        <f>IFERROR(__xludf.DUMMYFUNCTION("""COMPUTED_VALUE"""),"1級酒")</f>
        <v>1級酒</v>
      </c>
      <c r="I50" s="35"/>
      <c r="J50" s="35"/>
      <c r="K50" s="35"/>
      <c r="L50" s="35"/>
      <c r="M50" s="35"/>
      <c r="N50" s="36">
        <f>IFERROR(__xludf.DUMMYFUNCTION("""COMPUTED_VALUE"""),0.42)</f>
        <v>0.42</v>
      </c>
      <c r="O50" s="35"/>
      <c r="P50" s="37">
        <f>IFERROR(__xludf.DUMMYFUNCTION("""COMPUTED_VALUE"""),1300.0)</f>
        <v>1300</v>
      </c>
      <c r="Q50" s="37">
        <f>IFERROR(__xludf.DUMMYFUNCTION("""COMPUTED_VALUE"""),700.0)</f>
        <v>700</v>
      </c>
      <c r="R50" s="37"/>
      <c r="S50" s="38">
        <f>IFERROR(__xludf.DUMMYFUNCTION("""COMPUTED_VALUE"""),45377.0)</f>
        <v>45377</v>
      </c>
      <c r="T50" s="35"/>
      <c r="U50" s="35"/>
      <c r="V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IFERROR(__xludf.DUMMYFUNCTION("""COMPUTED_VALUE"""),"サントリー")</f>
        <v>サントリー</v>
      </c>
      <c r="C51" s="35" t="str">
        <f>IFERROR(__xludf.DUMMYFUNCTION("""COMPUTED_VALUE"""),"サントリー")</f>
        <v>サントリー</v>
      </c>
      <c r="D51" s="35"/>
      <c r="E51" s="35" t="str">
        <f>IFERROR(__xludf.DUMMYFUNCTION("""COMPUTED_VALUE"""),"ブレンデッド")</f>
        <v>ブレンデッド</v>
      </c>
      <c r="F51" s="35"/>
      <c r="G51" s="35" t="str">
        <f>IFERROR(__xludf.DUMMYFUNCTION("""COMPUTED_VALUE"""),"エクセレンス")</f>
        <v>エクセレンス</v>
      </c>
      <c r="H51" s="35"/>
      <c r="I51" s="35"/>
      <c r="J51" s="35"/>
      <c r="K51" s="35"/>
      <c r="L51" s="35"/>
      <c r="M51" s="35"/>
      <c r="N51" s="36">
        <f>IFERROR(__xludf.DUMMYFUNCTION("""COMPUTED_VALUE"""),0.43)</f>
        <v>0.43</v>
      </c>
      <c r="O51" s="35"/>
      <c r="P51" s="37">
        <f>IFERROR(__xludf.DUMMYFUNCTION("""COMPUTED_VALUE"""),2400.0)</f>
        <v>2400</v>
      </c>
      <c r="Q51" s="37">
        <f>IFERROR(__xludf.DUMMYFUNCTION("""COMPUTED_VALUE"""),1300.0)</f>
        <v>1300</v>
      </c>
      <c r="R51" s="37"/>
      <c r="S51" s="38">
        <f>IFERROR(__xludf.DUMMYFUNCTION("""COMPUTED_VALUE"""),45443.0)</f>
        <v>45443</v>
      </c>
      <c r="T51" s="35"/>
      <c r="U51" s="35"/>
      <c r="V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IFERROR(__xludf.DUMMYFUNCTION("""COMPUTED_VALUE"""),"サントリー")</f>
        <v>サントリー</v>
      </c>
      <c r="C52" s="35" t="str">
        <f>IFERROR(__xludf.DUMMYFUNCTION("""COMPUTED_VALUE"""),"サントリー")</f>
        <v>サントリー</v>
      </c>
      <c r="D52" s="35"/>
      <c r="E52" s="35" t="str">
        <f>IFERROR(__xludf.DUMMYFUNCTION("""COMPUTED_VALUE"""),"ブレンデッド")</f>
        <v>ブレンデッド</v>
      </c>
      <c r="F52" s="35"/>
      <c r="G52" s="35" t="str">
        <f>IFERROR(__xludf.DUMMYFUNCTION("""COMPUTED_VALUE"""),"クラシック")</f>
        <v>クラシック</v>
      </c>
      <c r="H52" s="35" t="str">
        <f>IFERROR(__xludf.DUMMYFUNCTION("""COMPUTED_VALUE"""),"特級酒")</f>
        <v>特級酒</v>
      </c>
      <c r="I52" s="35"/>
      <c r="J52" s="35"/>
      <c r="K52" s="35"/>
      <c r="L52" s="35"/>
      <c r="M52" s="35"/>
      <c r="N52" s="36">
        <f>IFERROR(__xludf.DUMMYFUNCTION("""COMPUTED_VALUE"""),0.43)</f>
        <v>0.43</v>
      </c>
      <c r="O52" s="35"/>
      <c r="P52" s="37">
        <f>IFERROR(__xludf.DUMMYFUNCTION("""COMPUTED_VALUE"""),1500.0)</f>
        <v>1500</v>
      </c>
      <c r="Q52" s="37">
        <f>IFERROR(__xludf.DUMMYFUNCTION("""COMPUTED_VALUE"""),850.0)</f>
        <v>850</v>
      </c>
      <c r="R52" s="37"/>
      <c r="S52" s="38"/>
      <c r="T52" s="35"/>
      <c r="U52" s="35"/>
      <c r="V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IFERROR(__xludf.DUMMYFUNCTION("""COMPUTED_VALUE"""),"サントリー")</f>
        <v>サントリー</v>
      </c>
      <c r="C53" s="35" t="str">
        <f>IFERROR(__xludf.DUMMYFUNCTION("""COMPUTED_VALUE"""),"サントリー")</f>
        <v>サントリー</v>
      </c>
      <c r="D53" s="35"/>
      <c r="E53" s="35" t="str">
        <f>IFERROR(__xludf.DUMMYFUNCTION("""COMPUTED_VALUE"""),"ブレンデッド")</f>
        <v>ブレンデッド</v>
      </c>
      <c r="F53" s="35"/>
      <c r="G53" s="35" t="str">
        <f>IFERROR(__xludf.DUMMYFUNCTION("""COMPUTED_VALUE"""),"クレスト 12年")</f>
        <v>クレスト 12年</v>
      </c>
      <c r="H53" s="35"/>
      <c r="I53" s="35"/>
      <c r="J53" s="35"/>
      <c r="K53" s="35"/>
      <c r="L53" s="35"/>
      <c r="M53" s="35"/>
      <c r="N53" s="36">
        <f>IFERROR(__xludf.DUMMYFUNCTION("""COMPUTED_VALUE"""),0.43)</f>
        <v>0.43</v>
      </c>
      <c r="O53" s="35"/>
      <c r="P53" s="37">
        <f>IFERROR(__xludf.DUMMYFUNCTION("""COMPUTED_VALUE"""),1300.0)</f>
        <v>1300</v>
      </c>
      <c r="Q53" s="37">
        <f>IFERROR(__xludf.DUMMYFUNCTION("""COMPUTED_VALUE"""),750.0)</f>
        <v>750</v>
      </c>
      <c r="R53" s="37"/>
      <c r="S53" s="38">
        <f>IFERROR(__xludf.DUMMYFUNCTION("""COMPUTED_VALUE"""),45173.0)</f>
        <v>45173</v>
      </c>
      <c r="T53" s="35"/>
      <c r="U53" s="35"/>
      <c r="V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IFERROR(__xludf.DUMMYFUNCTION("""COMPUTED_VALUE"""),"サントリー")</f>
        <v>サントリー</v>
      </c>
      <c r="C54" s="35" t="str">
        <f>IFERROR(__xludf.DUMMYFUNCTION("""COMPUTED_VALUE"""),"サントリー")</f>
        <v>サントリー</v>
      </c>
      <c r="D54" s="35"/>
      <c r="E54" s="35" t="str">
        <f>IFERROR(__xludf.DUMMYFUNCTION("""COMPUTED_VALUE"""),"ブレンデッド")</f>
        <v>ブレンデッド</v>
      </c>
      <c r="F54" s="35"/>
      <c r="G54" s="35" t="str">
        <f>IFERROR(__xludf.DUMMYFUNCTION("""COMPUTED_VALUE"""),"ゴールド")</f>
        <v>ゴールド</v>
      </c>
      <c r="H54" s="35" t="str">
        <f>IFERROR(__xludf.DUMMYFUNCTION("""COMPUTED_VALUE"""),"1級酒")</f>
        <v>1級酒</v>
      </c>
      <c r="I54" s="35"/>
      <c r="J54" s="35"/>
      <c r="K54" s="35"/>
      <c r="L54" s="35"/>
      <c r="M54" s="35"/>
      <c r="N54" s="36">
        <f>IFERROR(__xludf.DUMMYFUNCTION("""COMPUTED_VALUE"""),0.42)</f>
        <v>0.42</v>
      </c>
      <c r="O54" s="35"/>
      <c r="P54" s="37">
        <f>IFERROR(__xludf.DUMMYFUNCTION("""COMPUTED_VALUE"""),1100.0)</f>
        <v>1100</v>
      </c>
      <c r="Q54" s="37">
        <f>IFERROR(__xludf.DUMMYFUNCTION("""COMPUTED_VALUE"""),650.0)</f>
        <v>650</v>
      </c>
      <c r="R54" s="37"/>
      <c r="S54" s="38"/>
      <c r="T54" s="35"/>
      <c r="U54" s="35"/>
      <c r="V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IFERROR(__xludf.DUMMYFUNCTION("""COMPUTED_VALUE"""),"サントリー")</f>
        <v>サントリー</v>
      </c>
      <c r="C55" s="35" t="str">
        <f>IFERROR(__xludf.DUMMYFUNCTION("""COMPUTED_VALUE"""),"サントリー")</f>
        <v>サントリー</v>
      </c>
      <c r="D55" s="35"/>
      <c r="E55" s="35" t="str">
        <f>IFERROR(__xludf.DUMMYFUNCTION("""COMPUTED_VALUE"""),"ブレンデッド")</f>
        <v>ブレンデッド</v>
      </c>
      <c r="F55" s="35"/>
      <c r="G55" s="35" t="str">
        <f>IFERROR(__xludf.DUMMYFUNCTION("""COMPUTED_VALUE"""),"スモーキー&amp;カンパニー ナチュラルメロウ")</f>
        <v>スモーキー&amp;カンパニー ナチュラルメロウ</v>
      </c>
      <c r="H55" s="35"/>
      <c r="I55" s="35"/>
      <c r="J55" s="35"/>
      <c r="K55" s="35"/>
      <c r="L55" s="35"/>
      <c r="M55" s="35"/>
      <c r="N55" s="36">
        <f>IFERROR(__xludf.DUMMYFUNCTION("""COMPUTED_VALUE"""),0.4)</f>
        <v>0.4</v>
      </c>
      <c r="O55" s="35"/>
      <c r="P55" s="37">
        <f>IFERROR(__xludf.DUMMYFUNCTION("""COMPUTED_VALUE"""),1100.0)</f>
        <v>1100</v>
      </c>
      <c r="Q55" s="37">
        <f>IFERROR(__xludf.DUMMYFUNCTION("""COMPUTED_VALUE"""),650.0)</f>
        <v>650</v>
      </c>
      <c r="R55" s="37"/>
      <c r="S55" s="38"/>
      <c r="T55" s="35"/>
      <c r="U55" s="35"/>
      <c r="V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IFERROR(__xludf.DUMMYFUNCTION("""COMPUTED_VALUE"""),"サントリー")</f>
        <v>サントリー</v>
      </c>
      <c r="C56" s="35" t="str">
        <f>IFERROR(__xludf.DUMMYFUNCTION("""COMPUTED_VALUE"""),"サントリー")</f>
        <v>サントリー</v>
      </c>
      <c r="D56" s="35"/>
      <c r="E56" s="35" t="str">
        <f>IFERROR(__xludf.DUMMYFUNCTION("""COMPUTED_VALUE"""),"ブレンデッド")</f>
        <v>ブレンデッド</v>
      </c>
      <c r="F56" s="35"/>
      <c r="G56" s="35" t="str">
        <f>IFERROR(__xludf.DUMMYFUNCTION("""COMPUTED_VALUE"""),"ミレニアム 15年")</f>
        <v>ミレニアム 15年</v>
      </c>
      <c r="H56" s="35"/>
      <c r="I56" s="35"/>
      <c r="J56" s="35"/>
      <c r="K56" s="35"/>
      <c r="L56" s="35"/>
      <c r="M56" s="35"/>
      <c r="N56" s="36">
        <f>IFERROR(__xludf.DUMMYFUNCTION("""COMPUTED_VALUE"""),0.43)</f>
        <v>0.43</v>
      </c>
      <c r="O56" s="35"/>
      <c r="P56" s="37">
        <f>IFERROR(__xludf.DUMMYFUNCTION("""COMPUTED_VALUE"""),2200.0)</f>
        <v>2200</v>
      </c>
      <c r="Q56" s="37">
        <f>IFERROR(__xludf.DUMMYFUNCTION("""COMPUTED_VALUE"""),1200.0)</f>
        <v>1200</v>
      </c>
      <c r="R56" s="37"/>
      <c r="S56" s="38">
        <f>IFERROR(__xludf.DUMMYFUNCTION("""COMPUTED_VALUE"""),45259.0)</f>
        <v>45259</v>
      </c>
      <c r="T56" s="35"/>
      <c r="U56" s="35"/>
      <c r="V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IFERROR(__xludf.DUMMYFUNCTION("""COMPUTED_VALUE"""),"サントリー")</f>
        <v>サントリー</v>
      </c>
      <c r="C57" s="35" t="str">
        <f>IFERROR(__xludf.DUMMYFUNCTION("""COMPUTED_VALUE"""),"サントリー")</f>
        <v>サントリー</v>
      </c>
      <c r="D57" s="35"/>
      <c r="E57" s="35" t="str">
        <f>IFERROR(__xludf.DUMMYFUNCTION("""COMPUTED_VALUE"""),"ブレンデッド")</f>
        <v>ブレンデッド</v>
      </c>
      <c r="F57" s="35"/>
      <c r="G57" s="35" t="str">
        <f>IFERROR(__xludf.DUMMYFUNCTION("""COMPUTED_VALUE"""),"座")</f>
        <v>座</v>
      </c>
      <c r="H57" s="35"/>
      <c r="I57" s="35"/>
      <c r="J57" s="35" t="str">
        <f>IFERROR(__xludf.DUMMYFUNCTION("""COMPUTED_VALUE"""),"杉樽原酒　他")</f>
        <v>杉樽原酒　他</v>
      </c>
      <c r="K57" s="35"/>
      <c r="L57" s="35"/>
      <c r="M57" s="35"/>
      <c r="N57" s="36">
        <f>IFERROR(__xludf.DUMMYFUNCTION("""COMPUTED_VALUE"""),0.4)</f>
        <v>0.4</v>
      </c>
      <c r="O57" s="35"/>
      <c r="P57" s="37">
        <f>IFERROR(__xludf.DUMMYFUNCTION("""COMPUTED_VALUE"""),1100.0)</f>
        <v>1100</v>
      </c>
      <c r="Q57" s="37">
        <f>IFERROR(__xludf.DUMMYFUNCTION("""COMPUTED_VALUE"""),650.0)</f>
        <v>650</v>
      </c>
      <c r="R57" s="37"/>
      <c r="S57" s="38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0.14"/>
    <col customWidth="1" min="3" max="3" width="16.86"/>
    <col customWidth="1" hidden="1" min="4" max="4" width="23.14"/>
    <col customWidth="1" min="5" max="5" width="23.14"/>
    <col customWidth="1" hidden="1" min="6" max="6" width="5.71"/>
    <col customWidth="1" min="7" max="7" width="54.57"/>
    <col customWidth="1" min="8" max="8" width="25.14"/>
    <col customWidth="1" hidden="1" min="9" max="9" width="6.29"/>
    <col customWidth="1" hidden="1" min="10" max="10" width="12.0"/>
    <col customWidth="1" hidden="1" min="11" max="12" width="5.71"/>
    <col customWidth="1" hidden="1" min="13" max="13" width="9.86"/>
    <col customWidth="1" min="14" max="14" width="5.71"/>
    <col customWidth="1" hidden="1" min="15" max="15" width="26.29"/>
    <col customWidth="1" min="16" max="18" width="7.43"/>
    <col customWidth="1" min="19" max="19" width="12.0"/>
    <col customWidth="1" min="20" max="21" width="26.29"/>
  </cols>
  <sheetData>
    <row r="1">
      <c r="A1" s="33" t="s">
        <v>709</v>
      </c>
      <c r="T1" s="33"/>
      <c r="U1" s="33"/>
    </row>
    <row r="2">
      <c r="A2" s="34" t="str">
        <f>IFERROR(__xludf.DUMMYFUNCTION("QUERY('全ウイスキー'!A:S, ""SELECT * WHERE B contains 'ニッカ'"")"),"国")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</row>
    <row r="3">
      <c r="A3" s="35" t="str">
        <f>IFERROR(__xludf.DUMMYFUNCTION("""COMPUTED_VALUE"""),"JP")</f>
        <v>JP</v>
      </c>
      <c r="B3" s="35" t="str">
        <f>IFERROR(__xludf.DUMMYFUNCTION("""COMPUTED_VALUE"""),"ニッカ")</f>
        <v>ニッカ</v>
      </c>
      <c r="C3" s="35" t="str">
        <f>IFERROR(__xludf.DUMMYFUNCTION("""COMPUTED_VALUE"""),"ニッカ")</f>
        <v>ニッカ</v>
      </c>
      <c r="D3" s="35" t="str">
        <f>IFERROR(__xludf.DUMMYFUNCTION("""COMPUTED_VALUE"""),"余市")</f>
        <v>余市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IFERROR(__xludf.DUMMYFUNCTION("""COMPUTED_VALUE"""),"#420919")</f>
        <v>#420919</v>
      </c>
      <c r="G3" s="35" t="str">
        <f>IFERROR(__xludf.DUMMYFUNCTION("""COMPUTED_VALUE"""),"余市 10年")</f>
        <v>余市 10年</v>
      </c>
      <c r="H3" s="35" t="str">
        <f>IFERROR(__xludf.DUMMYFUNCTION("""COMPUTED_VALUE"""),"マイウイスキー")</f>
        <v>マイウイスキー</v>
      </c>
      <c r="I3" s="35"/>
      <c r="J3" s="35" t="str">
        <f>IFERROR(__xludf.DUMMYFUNCTION("""COMPUTED_VALUE"""),"ホワイトオーク新樽")</f>
        <v>ホワイトオーク新樽</v>
      </c>
      <c r="K3" s="35"/>
      <c r="L3" s="35"/>
      <c r="M3" s="35"/>
      <c r="N3" s="36">
        <f>IFERROR(__xludf.DUMMYFUNCTION("""COMPUTED_VALUE"""),0.55)</f>
        <v>0.55</v>
      </c>
      <c r="O3" s="35"/>
      <c r="P3" s="37"/>
      <c r="Q3" s="37"/>
      <c r="R3" s="37">
        <f>IFERROR(__xludf.DUMMYFUNCTION("""COMPUTED_VALUE"""),1400.0)</f>
        <v>1400</v>
      </c>
      <c r="S3" s="38">
        <f>IFERROR(__xludf.DUMMYFUNCTION("""COMPUTED_VALUE"""),45622.0)</f>
        <v>45622</v>
      </c>
      <c r="T3" s="35"/>
      <c r="U3" s="35"/>
    </row>
    <row r="4">
      <c r="A4" s="35" t="str">
        <f>IFERROR(__xludf.DUMMYFUNCTION("""COMPUTED_VALUE"""),"JP")</f>
        <v>JP</v>
      </c>
      <c r="B4" s="35" t="str">
        <f>IFERROR(__xludf.DUMMYFUNCTION("""COMPUTED_VALUE"""),"ニッカ")</f>
        <v>ニッカ</v>
      </c>
      <c r="C4" s="35" t="str">
        <f>IFERROR(__xludf.DUMMYFUNCTION("""COMPUTED_VALUE"""),"ニッカ")</f>
        <v>ニッカ</v>
      </c>
      <c r="D4" s="35" t="str">
        <f>IFERROR(__xludf.DUMMYFUNCTION("""COMPUTED_VALUE"""),"余市")</f>
        <v>余市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IFERROR(__xludf.DUMMYFUNCTION("""COMPUTED_VALUE"""),"#420921")</f>
        <v>#420921</v>
      </c>
      <c r="G4" s="35" t="str">
        <f>IFERROR(__xludf.DUMMYFUNCTION("""COMPUTED_VALUE"""),"余市 10年")</f>
        <v>余市 10年</v>
      </c>
      <c r="H4" s="35" t="str">
        <f>IFERROR(__xludf.DUMMYFUNCTION("""COMPUTED_VALUE"""),"マイウイスキー")</f>
        <v>マイウイスキー</v>
      </c>
      <c r="I4" s="35"/>
      <c r="J4" s="35" t="str">
        <f>IFERROR(__xludf.DUMMYFUNCTION("""COMPUTED_VALUE"""),"ホワイトオーク新樽")</f>
        <v>ホワイトオーク新樽</v>
      </c>
      <c r="K4" s="35"/>
      <c r="L4" s="35"/>
      <c r="M4" s="35"/>
      <c r="N4" s="36">
        <f>IFERROR(__xludf.DUMMYFUNCTION("""COMPUTED_VALUE"""),0.55)</f>
        <v>0.55</v>
      </c>
      <c r="O4" s="35"/>
      <c r="P4" s="37"/>
      <c r="Q4" s="37"/>
      <c r="R4" s="37">
        <f>IFERROR(__xludf.DUMMYFUNCTION("""COMPUTED_VALUE"""),1400.0)</f>
        <v>1400</v>
      </c>
      <c r="S4" s="38">
        <f>IFERROR(__xludf.DUMMYFUNCTION("""COMPUTED_VALUE"""),45621.0)</f>
        <v>45621</v>
      </c>
      <c r="T4" s="35"/>
      <c r="U4" s="35"/>
    </row>
    <row r="5">
      <c r="A5" s="35" t="str">
        <f>IFERROR(__xludf.DUMMYFUNCTION("""COMPUTED_VALUE"""),"JP")</f>
        <v>JP</v>
      </c>
      <c r="B5" s="35" t="str">
        <f>IFERROR(__xludf.DUMMYFUNCTION("""COMPUTED_VALUE"""),"ニッカ")</f>
        <v>ニッカ</v>
      </c>
      <c r="C5" s="35" t="str">
        <f>IFERROR(__xludf.DUMMYFUNCTION("""COMPUTED_VALUE"""),"ニッカ")</f>
        <v>ニッカ</v>
      </c>
      <c r="D5" s="35" t="str">
        <f>IFERROR(__xludf.DUMMYFUNCTION("""COMPUTED_VALUE"""),"余市")</f>
        <v>余市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IFERROR(__xludf.DUMMYFUNCTION("""COMPUTED_VALUE"""),"#420926")</f>
        <v>#420926</v>
      </c>
      <c r="G5" s="35" t="str">
        <f>IFERROR(__xludf.DUMMYFUNCTION("""COMPUTED_VALUE"""),"余市 10年")</f>
        <v>余市 10年</v>
      </c>
      <c r="H5" s="35" t="str">
        <f>IFERROR(__xludf.DUMMYFUNCTION("""COMPUTED_VALUE"""),"マイウイスキー")</f>
        <v>マイウイスキー</v>
      </c>
      <c r="I5" s="35"/>
      <c r="J5" s="35" t="str">
        <f>IFERROR(__xludf.DUMMYFUNCTION("""COMPUTED_VALUE"""),"ホワイトオーク新樽")</f>
        <v>ホワイトオーク新樽</v>
      </c>
      <c r="K5" s="35"/>
      <c r="L5" s="35"/>
      <c r="M5" s="35"/>
      <c r="N5" s="36">
        <f>IFERROR(__xludf.DUMMYFUNCTION("""COMPUTED_VALUE"""),0.56)</f>
        <v>0.56</v>
      </c>
      <c r="O5" s="35"/>
      <c r="P5" s="37"/>
      <c r="Q5" s="37"/>
      <c r="R5" s="37">
        <f>IFERROR(__xludf.DUMMYFUNCTION("""COMPUTED_VALUE"""),1400.0)</f>
        <v>1400</v>
      </c>
      <c r="S5" s="38">
        <f>IFERROR(__xludf.DUMMYFUNCTION("""COMPUTED_VALUE"""),45685.0)</f>
        <v>45685</v>
      </c>
      <c r="T5" s="35"/>
      <c r="U5" s="35"/>
    </row>
    <row r="6">
      <c r="A6" s="35" t="str">
        <f>IFERROR(__xludf.DUMMYFUNCTION("""COMPUTED_VALUE"""),"JP")</f>
        <v>JP</v>
      </c>
      <c r="B6" s="35" t="str">
        <f>IFERROR(__xludf.DUMMYFUNCTION("""COMPUTED_VALUE"""),"ニッカ")</f>
        <v>ニッカ</v>
      </c>
      <c r="C6" s="35" t="str">
        <f>IFERROR(__xludf.DUMMYFUNCTION("""COMPUTED_VALUE"""),"ニッカ")</f>
        <v>ニッカ</v>
      </c>
      <c r="D6" s="35" t="str">
        <f>IFERROR(__xludf.DUMMYFUNCTION("""COMPUTED_VALUE"""),"余市")</f>
        <v>余市</v>
      </c>
      <c r="E6" s="35" t="str">
        <f>IFERROR(__xludf.DUMMYFUNCTION("""COMPUTED_VALUE"""),"シングルカスク")</f>
        <v>シングルカスク</v>
      </c>
      <c r="F6" s="35" t="str">
        <f>IFERROR(__xludf.DUMMYFUNCTION("""COMPUTED_VALUE"""),"#415211")</f>
        <v>#415211</v>
      </c>
      <c r="G6" s="35" t="str">
        <f>IFERROR(__xludf.DUMMYFUNCTION("""COMPUTED_VALUE"""),"余市 10年")</f>
        <v>余市 10年</v>
      </c>
      <c r="H6" s="35" t="str">
        <f>IFERROR(__xludf.DUMMYFUNCTION("""COMPUTED_VALUE"""),"マイウイスキー")</f>
        <v>マイウイスキー</v>
      </c>
      <c r="I6" s="35"/>
      <c r="J6" s="35" t="str">
        <f>IFERROR(__xludf.DUMMYFUNCTION("""COMPUTED_VALUE"""),"ホワイトオーク新樽")</f>
        <v>ホワイトオーク新樽</v>
      </c>
      <c r="K6" s="35"/>
      <c r="L6" s="35"/>
      <c r="M6" s="35"/>
      <c r="N6" s="36">
        <f>IFERROR(__xludf.DUMMYFUNCTION("""COMPUTED_VALUE"""),0.57)</f>
        <v>0.57</v>
      </c>
      <c r="O6" s="35"/>
      <c r="P6" s="37"/>
      <c r="Q6" s="37"/>
      <c r="R6" s="37">
        <f>IFERROR(__xludf.DUMMYFUNCTION("""COMPUTED_VALUE"""),1400.0)</f>
        <v>1400</v>
      </c>
      <c r="S6" s="38">
        <f>IFERROR(__xludf.DUMMYFUNCTION("""COMPUTED_VALUE"""),45685.0)</f>
        <v>45685</v>
      </c>
      <c r="T6" s="35"/>
      <c r="U6" s="35"/>
    </row>
    <row r="7">
      <c r="A7" s="35" t="str">
        <f>IFERROR(__xludf.DUMMYFUNCTION("""COMPUTED_VALUE"""),"JP")</f>
        <v>JP</v>
      </c>
      <c r="B7" s="35" t="str">
        <f>IFERROR(__xludf.DUMMYFUNCTION("""COMPUTED_VALUE"""),"ニッカ")</f>
        <v>ニッカ</v>
      </c>
      <c r="C7" s="35" t="str">
        <f>IFERROR(__xludf.DUMMYFUNCTION("""COMPUTED_VALUE"""),"ニッカ")</f>
        <v>ニッカ</v>
      </c>
      <c r="D7" s="35" t="str">
        <f>IFERROR(__xludf.DUMMYFUNCTION("""COMPUTED_VALUE"""),"余市")</f>
        <v>余市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IFERROR(__xludf.DUMMYFUNCTION("""COMPUTED_VALUE"""),"余市")</f>
        <v>余市</v>
      </c>
      <c r="H7" s="35"/>
      <c r="I7" s="35"/>
      <c r="J7" s="35"/>
      <c r="K7" s="35"/>
      <c r="L7" s="35" t="str">
        <f>IFERROR(__xludf.DUMMYFUNCTION("""COMPUTED_VALUE"""),"✓")</f>
        <v>✓</v>
      </c>
      <c r="M7" s="35"/>
      <c r="N7" s="36">
        <f>IFERROR(__xludf.DUMMYFUNCTION("""COMPUTED_VALUE"""),0.45)</f>
        <v>0.45</v>
      </c>
      <c r="O7" s="35"/>
      <c r="P7" s="37">
        <f>IFERROR(__xludf.DUMMYFUNCTION("""COMPUTED_VALUE"""),1300.0)</f>
        <v>1300</v>
      </c>
      <c r="Q7" s="37">
        <f>IFERROR(__xludf.DUMMYFUNCTION("""COMPUTED_VALUE"""),750.0)</f>
        <v>750</v>
      </c>
      <c r="R7" s="37"/>
      <c r="S7" s="38"/>
      <c r="T7" s="35"/>
      <c r="U7" s="35"/>
    </row>
    <row r="8">
      <c r="A8" s="35" t="str">
        <f>IFERROR(__xludf.DUMMYFUNCTION("""COMPUTED_VALUE"""),"JP")</f>
        <v>JP</v>
      </c>
      <c r="B8" s="35" t="str">
        <f>IFERROR(__xludf.DUMMYFUNCTION("""COMPUTED_VALUE"""),"ニッカ")</f>
        <v>ニッカ</v>
      </c>
      <c r="C8" s="35" t="str">
        <f>IFERROR(__xludf.DUMMYFUNCTION("""COMPUTED_VALUE"""),"ニッカ")</f>
        <v>ニッカ</v>
      </c>
      <c r="D8" s="35" t="str">
        <f>IFERROR(__xludf.DUMMYFUNCTION("""COMPUTED_VALUE"""),"余市")</f>
        <v>余市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IFERROR(__xludf.DUMMYFUNCTION("""COMPUTED_VALUE"""),"余市 旧ボトル")</f>
        <v>余市 旧ボトル</v>
      </c>
      <c r="H8" s="35"/>
      <c r="I8" s="35"/>
      <c r="J8" s="35"/>
      <c r="K8" s="35"/>
      <c r="L8" s="35"/>
      <c r="M8" s="35"/>
      <c r="N8" s="36">
        <f>IFERROR(__xludf.DUMMYFUNCTION("""COMPUTED_VALUE"""),0.43)</f>
        <v>0.43</v>
      </c>
      <c r="O8" s="35"/>
      <c r="P8" s="37">
        <f>IFERROR(__xludf.DUMMYFUNCTION("""COMPUTED_VALUE"""),1500.0)</f>
        <v>1500</v>
      </c>
      <c r="Q8" s="37">
        <f>IFERROR(__xludf.DUMMYFUNCTION("""COMPUTED_VALUE"""),850.0)</f>
        <v>850</v>
      </c>
      <c r="R8" s="37"/>
      <c r="S8" s="38"/>
      <c r="T8" s="35"/>
      <c r="U8" s="35"/>
    </row>
    <row r="9">
      <c r="A9" s="35" t="str">
        <f>IFERROR(__xludf.DUMMYFUNCTION("""COMPUTED_VALUE"""),"JP")</f>
        <v>JP</v>
      </c>
      <c r="B9" s="35" t="str">
        <f>IFERROR(__xludf.DUMMYFUNCTION("""COMPUTED_VALUE"""),"ニッカ")</f>
        <v>ニッカ</v>
      </c>
      <c r="C9" s="35" t="str">
        <f>IFERROR(__xludf.DUMMYFUNCTION("""COMPUTED_VALUE"""),"ニッカ")</f>
        <v>ニッカ</v>
      </c>
      <c r="D9" s="35" t="str">
        <f>IFERROR(__xludf.DUMMYFUNCTION("""COMPUTED_VALUE"""),"余市")</f>
        <v>余市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IFERROR(__xludf.DUMMYFUNCTION("""COMPUTED_VALUE"""),"余市 10年")</f>
        <v>余市 10年</v>
      </c>
      <c r="H9" s="35"/>
      <c r="I9" s="35"/>
      <c r="J9" s="35"/>
      <c r="K9" s="35"/>
      <c r="L9" s="35" t="str">
        <f>IFERROR(__xludf.DUMMYFUNCTION("""COMPUTED_VALUE"""),"✓")</f>
        <v>✓</v>
      </c>
      <c r="M9" s="35"/>
      <c r="N9" s="36">
        <f>IFERROR(__xludf.DUMMYFUNCTION("""COMPUTED_VALUE"""),0.45)</f>
        <v>0.45</v>
      </c>
      <c r="O9" s="35"/>
      <c r="P9" s="37">
        <f>IFERROR(__xludf.DUMMYFUNCTION("""COMPUTED_VALUE"""),2400.0)</f>
        <v>2400</v>
      </c>
      <c r="Q9" s="37">
        <f>IFERROR(__xludf.DUMMYFUNCTION("""COMPUTED_VALUE"""),1300.0)</f>
        <v>1300</v>
      </c>
      <c r="R9" s="37"/>
      <c r="S9" s="38">
        <f>IFERROR(__xludf.DUMMYFUNCTION("""COMPUTED_VALUE"""),45041.0)</f>
        <v>45041</v>
      </c>
      <c r="T9" s="35"/>
      <c r="U9" s="35"/>
    </row>
    <row r="10">
      <c r="A10" s="35" t="str">
        <f>IFERROR(__xludf.DUMMYFUNCTION("""COMPUTED_VALUE"""),"JP")</f>
        <v>JP</v>
      </c>
      <c r="B10" s="35" t="str">
        <f>IFERROR(__xludf.DUMMYFUNCTION("""COMPUTED_VALUE"""),"ニッカ")</f>
        <v>ニッカ</v>
      </c>
      <c r="C10" s="35" t="str">
        <f>IFERROR(__xludf.DUMMYFUNCTION("""COMPUTED_VALUE"""),"ニッカ")</f>
        <v>ニッカ</v>
      </c>
      <c r="D10" s="35" t="str">
        <f>IFERROR(__xludf.DUMMYFUNCTION("""COMPUTED_VALUE"""),"余市")</f>
        <v>余市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IFERROR(__xludf.DUMMYFUNCTION("""COMPUTED_VALUE"""),"余市 12年")</f>
        <v>余市 12年</v>
      </c>
      <c r="H10" s="35"/>
      <c r="I10" s="35"/>
      <c r="J10" s="35"/>
      <c r="K10" s="35"/>
      <c r="L10" s="35"/>
      <c r="M10" s="35"/>
      <c r="N10" s="36">
        <f>IFERROR(__xludf.DUMMYFUNCTION("""COMPUTED_VALUE"""),0.45)</f>
        <v>0.45</v>
      </c>
      <c r="O10" s="35"/>
      <c r="P10" s="37">
        <f>IFERROR(__xludf.DUMMYFUNCTION("""COMPUTED_VALUE"""),2600.0)</f>
        <v>2600</v>
      </c>
      <c r="Q10" s="37">
        <f>IFERROR(__xludf.DUMMYFUNCTION("""COMPUTED_VALUE"""),1400.0)</f>
        <v>1400</v>
      </c>
      <c r="R10" s="37"/>
      <c r="S10" s="38">
        <f>IFERROR(__xludf.DUMMYFUNCTION("""COMPUTED_VALUE"""),44888.0)</f>
        <v>44888</v>
      </c>
      <c r="T10" s="35"/>
      <c r="U10" s="35"/>
    </row>
    <row r="11">
      <c r="A11" s="35" t="str">
        <f>IFERROR(__xludf.DUMMYFUNCTION("""COMPUTED_VALUE"""),"JP")</f>
        <v>JP</v>
      </c>
      <c r="B11" s="35" t="str">
        <f>IFERROR(__xludf.DUMMYFUNCTION("""COMPUTED_VALUE"""),"ニッカ")</f>
        <v>ニッカ</v>
      </c>
      <c r="C11" s="35" t="str">
        <f>IFERROR(__xludf.DUMMYFUNCTION("""COMPUTED_VALUE"""),"ニッカ")</f>
        <v>ニッカ</v>
      </c>
      <c r="D11" s="35" t="str">
        <f>IFERROR(__xludf.DUMMYFUNCTION("""COMPUTED_VALUE"""),"余市")</f>
        <v>余市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IFERROR(__xludf.DUMMYFUNCTION("""COMPUTED_VALUE"""),"余市 グランデ")</f>
        <v>余市 グランデ</v>
      </c>
      <c r="H11" s="35" t="str">
        <f>IFERROR(__xludf.DUMMYFUNCTION("""COMPUTED_VALUE"""),"免税店限定")</f>
        <v>免税店限定</v>
      </c>
      <c r="I11" s="35"/>
      <c r="J11" s="35"/>
      <c r="K11" s="35"/>
      <c r="L11" s="35" t="str">
        <f>IFERROR(__xludf.DUMMYFUNCTION("""COMPUTED_VALUE"""),"✓")</f>
        <v>✓</v>
      </c>
      <c r="M11" s="35"/>
      <c r="N11" s="36">
        <f>IFERROR(__xludf.DUMMYFUNCTION("""COMPUTED_VALUE"""),0.48)</f>
        <v>0.48</v>
      </c>
      <c r="O11" s="35"/>
      <c r="P11" s="37">
        <f>IFERROR(__xludf.DUMMYFUNCTION("""COMPUTED_VALUE"""),2200.0)</f>
        <v>2200</v>
      </c>
      <c r="Q11" s="37">
        <f>IFERROR(__xludf.DUMMYFUNCTION("""COMPUTED_VALUE"""),1200.0)</f>
        <v>1200</v>
      </c>
      <c r="R11" s="37"/>
      <c r="S11" s="38">
        <f>IFERROR(__xludf.DUMMYFUNCTION("""COMPUTED_VALUE"""),44970.0)</f>
        <v>44970</v>
      </c>
      <c r="T11" s="35"/>
      <c r="U11" s="35"/>
    </row>
    <row r="12">
      <c r="A12" s="35" t="str">
        <f>IFERROR(__xludf.DUMMYFUNCTION("""COMPUTED_VALUE"""),"JP")</f>
        <v>JP</v>
      </c>
      <c r="B12" s="35" t="str">
        <f>IFERROR(__xludf.DUMMYFUNCTION("""COMPUTED_VALUE"""),"ニッカ")</f>
        <v>ニッカ</v>
      </c>
      <c r="C12" s="35" t="str">
        <f>IFERROR(__xludf.DUMMYFUNCTION("""COMPUTED_VALUE"""),"ニッカ")</f>
        <v>ニッカ</v>
      </c>
      <c r="D12" s="35" t="str">
        <f>IFERROR(__xludf.DUMMYFUNCTION("""COMPUTED_VALUE"""),"余市")</f>
        <v>余市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IFERROR(__xludf.DUMMYFUNCTION("""COMPUTED_VALUE"""),"余市 ウッディ＆バニリック")</f>
        <v>余市 ウッディ＆バニリック</v>
      </c>
      <c r="H12" s="35" t="str">
        <f>IFERROR(__xludf.DUMMYFUNCTION("""COMPUTED_VALUE"""),"蒸溜所限定")</f>
        <v>蒸溜所限定</v>
      </c>
      <c r="I12" s="35"/>
      <c r="J12" s="35"/>
      <c r="K12" s="35"/>
      <c r="L12" s="35" t="str">
        <f>IFERROR(__xludf.DUMMYFUNCTION("""COMPUTED_VALUE"""),"✓")</f>
        <v>✓</v>
      </c>
      <c r="M12" s="35"/>
      <c r="N12" s="36">
        <f>IFERROR(__xludf.DUMMYFUNCTION("""COMPUTED_VALUE"""),0.55)</f>
        <v>0.55</v>
      </c>
      <c r="O12" s="35"/>
      <c r="P12" s="37">
        <f>IFERROR(__xludf.DUMMYFUNCTION("""COMPUTED_VALUE"""),2000.0)</f>
        <v>2000</v>
      </c>
      <c r="Q12" s="37">
        <f>IFERROR(__xludf.DUMMYFUNCTION("""COMPUTED_VALUE"""),1100.0)</f>
        <v>1100</v>
      </c>
      <c r="R12" s="37"/>
      <c r="S12" s="38">
        <f>IFERROR(__xludf.DUMMYFUNCTION("""COMPUTED_VALUE"""),45615.0)</f>
        <v>45615</v>
      </c>
      <c r="T12" s="35"/>
      <c r="U12" s="35"/>
    </row>
    <row r="13">
      <c r="A13" s="35" t="str">
        <f>IFERROR(__xludf.DUMMYFUNCTION("""COMPUTED_VALUE"""),"JP")</f>
        <v>JP</v>
      </c>
      <c r="B13" s="35" t="str">
        <f>IFERROR(__xludf.DUMMYFUNCTION("""COMPUTED_VALUE"""),"ニッカ")</f>
        <v>ニッカ</v>
      </c>
      <c r="C13" s="35" t="str">
        <f>IFERROR(__xludf.DUMMYFUNCTION("""COMPUTED_VALUE"""),"ニッカ")</f>
        <v>ニッカ</v>
      </c>
      <c r="D13" s="35" t="str">
        <f>IFERROR(__xludf.DUMMYFUNCTION("""COMPUTED_VALUE"""),"余市")</f>
        <v>余市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IFERROR(__xludf.DUMMYFUNCTION("""COMPUTED_VALUE"""),"余市 シェリー＆スイート")</f>
        <v>余市 シェリー＆スイート</v>
      </c>
      <c r="H13" s="35" t="str">
        <f>IFERROR(__xludf.DUMMYFUNCTION("""COMPUTED_VALUE"""),"蒸溜所限定")</f>
        <v>蒸溜所限定</v>
      </c>
      <c r="I13" s="35"/>
      <c r="J13" s="35"/>
      <c r="K13" s="35"/>
      <c r="L13" s="35" t="str">
        <f>IFERROR(__xludf.DUMMYFUNCTION("""COMPUTED_VALUE"""),"✓")</f>
        <v>✓</v>
      </c>
      <c r="M13" s="35"/>
      <c r="N13" s="36">
        <f>IFERROR(__xludf.DUMMYFUNCTION("""COMPUTED_VALUE"""),0.55)</f>
        <v>0.55</v>
      </c>
      <c r="O13" s="35"/>
      <c r="P13" s="37">
        <f>IFERROR(__xludf.DUMMYFUNCTION("""COMPUTED_VALUE"""),2000.0)</f>
        <v>2000</v>
      </c>
      <c r="Q13" s="37">
        <f>IFERROR(__xludf.DUMMYFUNCTION("""COMPUTED_VALUE"""),1100.0)</f>
        <v>1100</v>
      </c>
      <c r="R13" s="37"/>
      <c r="S13" s="38">
        <f>IFERROR(__xludf.DUMMYFUNCTION("""COMPUTED_VALUE"""),45614.0)</f>
        <v>45614</v>
      </c>
      <c r="T13" s="35"/>
      <c r="U13" s="35"/>
    </row>
    <row r="14">
      <c r="A14" s="35" t="str">
        <f>IFERROR(__xludf.DUMMYFUNCTION("""COMPUTED_VALUE"""),"JP")</f>
        <v>JP</v>
      </c>
      <c r="B14" s="35" t="str">
        <f>IFERROR(__xludf.DUMMYFUNCTION("""COMPUTED_VALUE"""),"ニッカ")</f>
        <v>ニッカ</v>
      </c>
      <c r="C14" s="35" t="str">
        <f>IFERROR(__xludf.DUMMYFUNCTION("""COMPUTED_VALUE"""),"ニッカ")</f>
        <v>ニッカ</v>
      </c>
      <c r="D14" s="35" t="str">
        <f>IFERROR(__xludf.DUMMYFUNCTION("""COMPUTED_VALUE"""),"余市")</f>
        <v>余市</v>
      </c>
      <c r="E14" s="35" t="str">
        <f>IFERROR(__xludf.DUMMYFUNCTION("""COMPUTED_VALUE"""),"シングルモルト")</f>
        <v>シングルモルト</v>
      </c>
      <c r="F14" s="35"/>
      <c r="G14" s="35" t="str">
        <f>IFERROR(__xludf.DUMMYFUNCTION("""COMPUTED_VALUE"""),"余市 ピーティ＆ソルティ")</f>
        <v>余市 ピーティ＆ソルティ</v>
      </c>
      <c r="H14" s="35" t="str">
        <f>IFERROR(__xludf.DUMMYFUNCTION("""COMPUTED_VALUE"""),"蒸溜所限定")</f>
        <v>蒸溜所限定</v>
      </c>
      <c r="I14" s="35"/>
      <c r="J14" s="35"/>
      <c r="K14" s="35"/>
      <c r="L14" s="35" t="str">
        <f>IFERROR(__xludf.DUMMYFUNCTION("""COMPUTED_VALUE"""),"✓")</f>
        <v>✓</v>
      </c>
      <c r="M14" s="35"/>
      <c r="N14" s="36">
        <f>IFERROR(__xludf.DUMMYFUNCTION("""COMPUTED_VALUE"""),0.55)</f>
        <v>0.55</v>
      </c>
      <c r="O14" s="35"/>
      <c r="P14" s="37">
        <f>IFERROR(__xludf.DUMMYFUNCTION("""COMPUTED_VALUE"""),2000.0)</f>
        <v>2000</v>
      </c>
      <c r="Q14" s="37">
        <f>IFERROR(__xludf.DUMMYFUNCTION("""COMPUTED_VALUE"""),1100.0)</f>
        <v>1100</v>
      </c>
      <c r="R14" s="37"/>
      <c r="S14" s="38">
        <f>IFERROR(__xludf.DUMMYFUNCTION("""COMPUTED_VALUE"""),45613.0)</f>
        <v>45613</v>
      </c>
      <c r="T14" s="35"/>
      <c r="U14" s="35"/>
    </row>
    <row r="15">
      <c r="A15" s="35" t="str">
        <f>IFERROR(__xludf.DUMMYFUNCTION("""COMPUTED_VALUE"""),"JP")</f>
        <v>JP</v>
      </c>
      <c r="B15" s="35" t="str">
        <f>IFERROR(__xludf.DUMMYFUNCTION("""COMPUTED_VALUE"""),"ニッカ")</f>
        <v>ニッカ</v>
      </c>
      <c r="C15" s="35" t="str">
        <f>IFERROR(__xludf.DUMMYFUNCTION("""COMPUTED_VALUE"""),"ニッカ")</f>
        <v>ニッカ</v>
      </c>
      <c r="D15" s="35" t="str">
        <f>IFERROR(__xludf.DUMMYFUNCTION("""COMPUTED_VALUE"""),"余市")</f>
        <v>余市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IFERROR(__xludf.DUMMYFUNCTION("""COMPUTED_VALUE"""),"余市 モスカテルウッドフィニッシュ")</f>
        <v>余市 モスカテルウッドフィニッシュ</v>
      </c>
      <c r="H15" s="35"/>
      <c r="I15" s="35"/>
      <c r="J15" s="35"/>
      <c r="K15" s="35"/>
      <c r="L15" s="35"/>
      <c r="M15" s="35"/>
      <c r="N15" s="36">
        <f>IFERROR(__xludf.DUMMYFUNCTION("""COMPUTED_VALUE"""),0.46)</f>
        <v>0.46</v>
      </c>
      <c r="O15" s="35">
        <f>IFERROR(__xludf.DUMMYFUNCTION("""COMPUTED_VALUE"""),3500.0)</f>
        <v>3500</v>
      </c>
      <c r="P15" s="37">
        <f>IFERROR(__xludf.DUMMYFUNCTION("""COMPUTED_VALUE"""),3000.0)</f>
        <v>3000</v>
      </c>
      <c r="Q15" s="37">
        <f>IFERROR(__xludf.DUMMYFUNCTION("""COMPUTED_VALUE"""),1600.0)</f>
        <v>1600</v>
      </c>
      <c r="R15" s="37"/>
      <c r="S15" s="38">
        <f>IFERROR(__xludf.DUMMYFUNCTION("""COMPUTED_VALUE"""),45215.0)</f>
        <v>45215</v>
      </c>
      <c r="T15" s="35"/>
      <c r="U15" s="35"/>
    </row>
    <row r="16">
      <c r="A16" s="35" t="str">
        <f>IFERROR(__xludf.DUMMYFUNCTION("""COMPUTED_VALUE"""),"JP")</f>
        <v>JP</v>
      </c>
      <c r="B16" s="35" t="str">
        <f>IFERROR(__xludf.DUMMYFUNCTION("""COMPUTED_VALUE"""),"ニッカ")</f>
        <v>ニッカ</v>
      </c>
      <c r="C16" s="35" t="str">
        <f>IFERROR(__xludf.DUMMYFUNCTION("""COMPUTED_VALUE"""),"ニッカ")</f>
        <v>ニッカ</v>
      </c>
      <c r="D16" s="35" t="str">
        <f>IFERROR(__xludf.DUMMYFUNCTION("""COMPUTED_VALUE"""),"余市")</f>
        <v>余市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IFERROR(__xludf.DUMMYFUNCTION("""COMPUTED_VALUE"""),"余市 マンサニーリャウッドフィニッシュ")</f>
        <v>余市 マンサニーリャウッドフィニッシュ</v>
      </c>
      <c r="H16" s="35"/>
      <c r="I16" s="35"/>
      <c r="J16" s="35"/>
      <c r="K16" s="35"/>
      <c r="L16" s="35"/>
      <c r="M16" s="35"/>
      <c r="N16" s="36">
        <f>IFERROR(__xludf.DUMMYFUNCTION("""COMPUTED_VALUE"""),0.48)</f>
        <v>0.48</v>
      </c>
      <c r="O16" s="35">
        <f>IFERROR(__xludf.DUMMYFUNCTION("""COMPUTED_VALUE"""),4000.0)</f>
        <v>4000</v>
      </c>
      <c r="P16" s="37">
        <f>IFERROR(__xludf.DUMMYFUNCTION("""COMPUTED_VALUE"""),3000.0)</f>
        <v>3000</v>
      </c>
      <c r="Q16" s="37">
        <f>IFERROR(__xludf.DUMMYFUNCTION("""COMPUTED_VALUE"""),1600.0)</f>
        <v>1600</v>
      </c>
      <c r="R16" s="37"/>
      <c r="S16" s="38">
        <f>IFERROR(__xludf.DUMMYFUNCTION("""COMPUTED_VALUE"""),45221.0)</f>
        <v>45221</v>
      </c>
      <c r="T16" s="35"/>
      <c r="U16" s="35"/>
    </row>
    <row r="17">
      <c r="A17" s="35" t="str">
        <f>IFERROR(__xludf.DUMMYFUNCTION("""COMPUTED_VALUE"""),"JP")</f>
        <v>JP</v>
      </c>
      <c r="B17" s="35" t="str">
        <f>IFERROR(__xludf.DUMMYFUNCTION("""COMPUTED_VALUE"""),"ニッカ")</f>
        <v>ニッカ</v>
      </c>
      <c r="C17" s="35" t="str">
        <f>IFERROR(__xludf.DUMMYFUNCTION("""COMPUTED_VALUE"""),"ニッカ")</f>
        <v>ニッカ</v>
      </c>
      <c r="D17" s="35" t="str">
        <f>IFERROR(__xludf.DUMMYFUNCTION("""COMPUTED_VALUE"""),"余市")</f>
        <v>余市</v>
      </c>
      <c r="E17" s="35" t="str">
        <f>IFERROR(__xludf.DUMMYFUNCTION("""COMPUTED_VALUE"""),"シングルモルト")</f>
        <v>シングルモルト</v>
      </c>
      <c r="F17" s="35"/>
      <c r="G17" s="35" t="str">
        <f>IFERROR(__xludf.DUMMYFUNCTION("""COMPUTED_VALUE"""),"余市 アップルブランデーウッドフィニッシュ")</f>
        <v>余市 アップルブランデーウッドフィニッシュ</v>
      </c>
      <c r="H17" s="35"/>
      <c r="I17" s="35"/>
      <c r="J17" s="35"/>
      <c r="K17" s="35"/>
      <c r="L17" s="35"/>
      <c r="M17" s="35"/>
      <c r="N17" s="36">
        <f>IFERROR(__xludf.DUMMYFUNCTION("""COMPUTED_VALUE"""),0.47)</f>
        <v>0.47</v>
      </c>
      <c r="O17" s="35">
        <f>IFERROR(__xludf.DUMMYFUNCTION("""COMPUTED_VALUE"""),6700.0)</f>
        <v>6700</v>
      </c>
      <c r="P17" s="37">
        <f>IFERROR(__xludf.DUMMYFUNCTION("""COMPUTED_VALUE"""),3000.0)</f>
        <v>3000</v>
      </c>
      <c r="Q17" s="37">
        <f>IFERROR(__xludf.DUMMYFUNCTION("""COMPUTED_VALUE"""),1600.0)</f>
        <v>1600</v>
      </c>
      <c r="R17" s="37"/>
      <c r="S17" s="38">
        <f>IFERROR(__xludf.DUMMYFUNCTION("""COMPUTED_VALUE"""),45224.0)</f>
        <v>45224</v>
      </c>
      <c r="T17" s="35"/>
      <c r="U17" s="35"/>
    </row>
    <row r="18">
      <c r="A18" s="35" t="str">
        <f>IFERROR(__xludf.DUMMYFUNCTION("""COMPUTED_VALUE"""),"JP")</f>
        <v>JP</v>
      </c>
      <c r="B18" s="35" t="str">
        <f>IFERROR(__xludf.DUMMYFUNCTION("""COMPUTED_VALUE"""),"ニッカ")</f>
        <v>ニッカ</v>
      </c>
      <c r="C18" s="35" t="str">
        <f>IFERROR(__xludf.DUMMYFUNCTION("""COMPUTED_VALUE"""),"ニッカ")</f>
        <v>ニッカ</v>
      </c>
      <c r="D18" s="35" t="str">
        <f>IFERROR(__xludf.DUMMYFUNCTION("""COMPUTED_VALUE"""),"余市")</f>
        <v>余市</v>
      </c>
      <c r="E18" s="35" t="str">
        <f>IFERROR(__xludf.DUMMYFUNCTION("""COMPUTED_VALUE"""),"シングルモルト")</f>
        <v>シングルモルト</v>
      </c>
      <c r="F18" s="35"/>
      <c r="G18" s="35" t="str">
        <f>IFERROR(__xludf.DUMMYFUNCTION("""COMPUTED_VALUE"""),"余市 ノンピーテッド")</f>
        <v>余市 ノンピーテッド</v>
      </c>
      <c r="H18" s="35" t="str">
        <f>IFERROR(__xludf.DUMMYFUNCTION("""COMPUTED_VALUE"""),"ディスカバリーシリーズ")</f>
        <v>ディスカバリーシリーズ</v>
      </c>
      <c r="I18" s="35"/>
      <c r="J18" s="35"/>
      <c r="K18" s="35"/>
      <c r="L18" s="35"/>
      <c r="M18" s="35"/>
      <c r="N18" s="36">
        <f>IFERROR(__xludf.DUMMYFUNCTION("""COMPUTED_VALUE"""),0.47)</f>
        <v>0.47</v>
      </c>
      <c r="O18" s="35">
        <f>IFERROR(__xludf.DUMMYFUNCTION("""COMPUTED_VALUE"""),10000.0)</f>
        <v>10000</v>
      </c>
      <c r="P18" s="37">
        <f>IFERROR(__xludf.DUMMYFUNCTION("""COMPUTED_VALUE"""),3000.0)</f>
        <v>3000</v>
      </c>
      <c r="Q18" s="37">
        <f>IFERROR(__xludf.DUMMYFUNCTION("""COMPUTED_VALUE"""),1600.0)</f>
        <v>1600</v>
      </c>
      <c r="R18" s="37"/>
      <c r="S18" s="38">
        <f>IFERROR(__xludf.DUMMYFUNCTION("""COMPUTED_VALUE"""),44793.0)</f>
        <v>44793</v>
      </c>
      <c r="T18" s="35"/>
      <c r="U18" s="35"/>
    </row>
    <row r="19">
      <c r="A19" s="35" t="str">
        <f>IFERROR(__xludf.DUMMYFUNCTION("""COMPUTED_VALUE"""),"JP")</f>
        <v>JP</v>
      </c>
      <c r="B19" s="35" t="str">
        <f>IFERROR(__xludf.DUMMYFUNCTION("""COMPUTED_VALUE"""),"ニッカ")</f>
        <v>ニッカ</v>
      </c>
      <c r="C19" s="35" t="str">
        <f>IFERROR(__xludf.DUMMYFUNCTION("""COMPUTED_VALUE"""),"ニッカ")</f>
        <v>ニッカ</v>
      </c>
      <c r="D19" s="35" t="str">
        <f>IFERROR(__xludf.DUMMYFUNCTION("""COMPUTED_VALUE"""),"余市")</f>
        <v>余市</v>
      </c>
      <c r="E19" s="35" t="str">
        <f>IFERROR(__xludf.DUMMYFUNCTION("""COMPUTED_VALUE"""),"シングルモルト")</f>
        <v>シングルモルト</v>
      </c>
      <c r="F19" s="35"/>
      <c r="G19" s="35" t="str">
        <f>IFERROR(__xludf.DUMMYFUNCTION("""COMPUTED_VALUE"""),"余市 アロマティックイースト")</f>
        <v>余市 アロマティックイースト</v>
      </c>
      <c r="H19" s="35" t="str">
        <f>IFERROR(__xludf.DUMMYFUNCTION("""COMPUTED_VALUE"""),"ディスカバリーシリーズ")</f>
        <v>ディスカバリーシリーズ</v>
      </c>
      <c r="I19" s="35"/>
      <c r="J19" s="35"/>
      <c r="K19" s="35"/>
      <c r="L19" s="35"/>
      <c r="M19" s="35"/>
      <c r="N19" s="36">
        <f>IFERROR(__xludf.DUMMYFUNCTION("""COMPUTED_VALUE"""),0.48)</f>
        <v>0.48</v>
      </c>
      <c r="O19" s="35">
        <f>IFERROR(__xludf.DUMMYFUNCTION("""COMPUTED_VALUE"""),10000.0)</f>
        <v>10000</v>
      </c>
      <c r="P19" s="37">
        <f>IFERROR(__xludf.DUMMYFUNCTION("""COMPUTED_VALUE"""),3000.0)</f>
        <v>3000</v>
      </c>
      <c r="Q19" s="37">
        <f>IFERROR(__xludf.DUMMYFUNCTION("""COMPUTED_VALUE"""),1600.0)</f>
        <v>1600</v>
      </c>
      <c r="R19" s="37"/>
      <c r="S19" s="38">
        <f>IFERROR(__xludf.DUMMYFUNCTION("""COMPUTED_VALUE"""),45244.0)</f>
        <v>45244</v>
      </c>
      <c r="T19" s="35"/>
      <c r="U19" s="35"/>
    </row>
    <row r="20">
      <c r="A20" s="35" t="str">
        <f>IFERROR(__xludf.DUMMYFUNCTION("""COMPUTED_VALUE"""),"JP")</f>
        <v>JP</v>
      </c>
      <c r="B20" s="35" t="str">
        <f>IFERROR(__xludf.DUMMYFUNCTION("""COMPUTED_VALUE"""),"ニッカ")</f>
        <v>ニッカ</v>
      </c>
      <c r="C20" s="35" t="str">
        <f>IFERROR(__xludf.DUMMYFUNCTION("""COMPUTED_VALUE"""),"北海道海洋熟成")</f>
        <v>北海道海洋熟成</v>
      </c>
      <c r="D20" s="35"/>
      <c r="E20" s="35" t="str">
        <f>IFERROR(__xludf.DUMMYFUNCTION("""COMPUTED_VALUE"""),"シングルモルト")</f>
        <v>シングルモルト</v>
      </c>
      <c r="F20" s="35"/>
      <c r="G20" s="35" t="str">
        <f>IFERROR(__xludf.DUMMYFUNCTION("""COMPUTED_VALUE"""),"12ヶ月海底熟成 北海道産ウイスキー")</f>
        <v>12ヶ月海底熟成 北海道産ウイスキー</v>
      </c>
      <c r="H20" s="35"/>
      <c r="I20" s="35"/>
      <c r="J20" s="35"/>
      <c r="K20" s="35"/>
      <c r="L20" s="35"/>
      <c r="M20" s="35"/>
      <c r="N20" s="36"/>
      <c r="O20" s="35"/>
      <c r="P20" s="37">
        <f>IFERROR(__xludf.DUMMYFUNCTION("""COMPUTED_VALUE"""),2600.0)</f>
        <v>2600</v>
      </c>
      <c r="Q20" s="37">
        <f>IFERROR(__xludf.DUMMYFUNCTION("""COMPUTED_VALUE"""),1400.0)</f>
        <v>1400</v>
      </c>
      <c r="R20" s="37"/>
      <c r="S20" s="38"/>
      <c r="T20" s="35"/>
      <c r="U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IFERROR(__xludf.DUMMYFUNCTION("""COMPUTED_VALUE"""),"ニッカ")</f>
        <v>ニッカ</v>
      </c>
      <c r="C21" s="35" t="str">
        <f>IFERROR(__xludf.DUMMYFUNCTION("""COMPUTED_VALUE"""),"ニッカ")</f>
        <v>ニッカ</v>
      </c>
      <c r="D21" s="35" t="str">
        <f>IFERROR(__xludf.DUMMYFUNCTION("""COMPUTED_VALUE"""),"宮城峡")</f>
        <v>宮城峡</v>
      </c>
      <c r="E21" s="35" t="str">
        <f>IFERROR(__xludf.DUMMYFUNCTION("""COMPUTED_VALUE"""),"シングルモルト")</f>
        <v>シングルモルト</v>
      </c>
      <c r="F21" s="35"/>
      <c r="G21" s="35" t="str">
        <f>IFERROR(__xludf.DUMMYFUNCTION("""COMPUTED_VALUE"""),"宮城峡")</f>
        <v>宮城峡</v>
      </c>
      <c r="H21" s="35"/>
      <c r="I21" s="35"/>
      <c r="J21" s="35"/>
      <c r="K21" s="35"/>
      <c r="L21" s="35" t="str">
        <f>IFERROR(__xludf.DUMMYFUNCTION("""COMPUTED_VALUE"""),"✓")</f>
        <v>✓</v>
      </c>
      <c r="M21" s="35"/>
      <c r="N21" s="36">
        <f>IFERROR(__xludf.DUMMYFUNCTION("""COMPUTED_VALUE"""),0.45)</f>
        <v>0.45</v>
      </c>
      <c r="O21" s="35"/>
      <c r="P21" s="37">
        <f>IFERROR(__xludf.DUMMYFUNCTION("""COMPUTED_VALUE"""),1300.0)</f>
        <v>1300</v>
      </c>
      <c r="Q21" s="37">
        <f>IFERROR(__xludf.DUMMYFUNCTION("""COMPUTED_VALUE"""),750.0)</f>
        <v>750</v>
      </c>
      <c r="R21" s="37"/>
      <c r="S21" s="38"/>
      <c r="T21" s="35"/>
      <c r="U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IFERROR(__xludf.DUMMYFUNCTION("""COMPUTED_VALUE"""),"ニッカ")</f>
        <v>ニッカ</v>
      </c>
      <c r="C22" s="35" t="str">
        <f>IFERROR(__xludf.DUMMYFUNCTION("""COMPUTED_VALUE"""),"ニッカ")</f>
        <v>ニッカ</v>
      </c>
      <c r="D22" s="35" t="str">
        <f>IFERROR(__xludf.DUMMYFUNCTION("""COMPUTED_VALUE"""),"宮城峡")</f>
        <v>宮城峡</v>
      </c>
      <c r="E22" s="35" t="str">
        <f>IFERROR(__xludf.DUMMYFUNCTION("""COMPUTED_VALUE"""),"シングルモルト")</f>
        <v>シングルモルト</v>
      </c>
      <c r="F22" s="35"/>
      <c r="G22" s="35" t="str">
        <f>IFERROR(__xludf.DUMMYFUNCTION("""COMPUTED_VALUE"""),"宮城峡 旧ボトル")</f>
        <v>宮城峡 旧ボトル</v>
      </c>
      <c r="H22" s="35"/>
      <c r="I22" s="35"/>
      <c r="J22" s="35"/>
      <c r="K22" s="35"/>
      <c r="L22" s="35"/>
      <c r="M22" s="35"/>
      <c r="N22" s="36">
        <f>IFERROR(__xludf.DUMMYFUNCTION("""COMPUTED_VALUE"""),0.43)</f>
        <v>0.43</v>
      </c>
      <c r="O22" s="35"/>
      <c r="P22" s="37">
        <f>IFERROR(__xludf.DUMMYFUNCTION("""COMPUTED_VALUE"""),1500.0)</f>
        <v>1500</v>
      </c>
      <c r="Q22" s="37">
        <f>IFERROR(__xludf.DUMMYFUNCTION("""COMPUTED_VALUE"""),850.0)</f>
        <v>850</v>
      </c>
      <c r="R22" s="37"/>
      <c r="S22" s="38"/>
      <c r="T22" s="35"/>
      <c r="U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IFERROR(__xludf.DUMMYFUNCTION("""COMPUTED_VALUE"""),"ニッカ")</f>
        <v>ニッカ</v>
      </c>
      <c r="C23" s="35" t="str">
        <f>IFERROR(__xludf.DUMMYFUNCTION("""COMPUTED_VALUE"""),"ニッカ")</f>
        <v>ニッカ</v>
      </c>
      <c r="D23" s="35" t="str">
        <f>IFERROR(__xludf.DUMMYFUNCTION("""COMPUTED_VALUE"""),"宮城峡")</f>
        <v>宮城峡</v>
      </c>
      <c r="E23" s="35" t="str">
        <f>IFERROR(__xludf.DUMMYFUNCTION("""COMPUTED_VALUE"""),"シングルモルト")</f>
        <v>シングルモルト</v>
      </c>
      <c r="F23" s="35"/>
      <c r="G23" s="35" t="str">
        <f>IFERROR(__xludf.DUMMYFUNCTION("""COMPUTED_VALUE"""),"宮城峡 10年")</f>
        <v>宮城峡 10年</v>
      </c>
      <c r="H23" s="35"/>
      <c r="I23" s="35"/>
      <c r="J23" s="35"/>
      <c r="K23" s="35"/>
      <c r="L23" s="35"/>
      <c r="M23" s="35"/>
      <c r="N23" s="36">
        <f>IFERROR(__xludf.DUMMYFUNCTION("""COMPUTED_VALUE"""),0.45)</f>
        <v>0.45</v>
      </c>
      <c r="O23" s="35"/>
      <c r="P23" s="37">
        <f>IFERROR(__xludf.DUMMYFUNCTION("""COMPUTED_VALUE"""),2200.0)</f>
        <v>2200</v>
      </c>
      <c r="Q23" s="37">
        <f>IFERROR(__xludf.DUMMYFUNCTION("""COMPUTED_VALUE"""),1200.0)</f>
        <v>1200</v>
      </c>
      <c r="R23" s="37"/>
      <c r="S23" s="38">
        <f>IFERROR(__xludf.DUMMYFUNCTION("""COMPUTED_VALUE"""),44882.0)</f>
        <v>44882</v>
      </c>
      <c r="T23" s="35"/>
      <c r="U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IFERROR(__xludf.DUMMYFUNCTION("""COMPUTED_VALUE"""),"ニッカ")</f>
        <v>ニッカ</v>
      </c>
      <c r="C24" s="35" t="str">
        <f>IFERROR(__xludf.DUMMYFUNCTION("""COMPUTED_VALUE"""),"ニッカ")</f>
        <v>ニッカ</v>
      </c>
      <c r="D24" s="35" t="str">
        <f>IFERROR(__xludf.DUMMYFUNCTION("""COMPUTED_VALUE"""),"宮城峡")</f>
        <v>宮城峡</v>
      </c>
      <c r="E24" s="35" t="str">
        <f>IFERROR(__xludf.DUMMYFUNCTION("""COMPUTED_VALUE"""),"シングルモルト")</f>
        <v>シングルモルト</v>
      </c>
      <c r="F24" s="35"/>
      <c r="G24" s="35" t="str">
        <f>IFERROR(__xludf.DUMMYFUNCTION("""COMPUTED_VALUE"""),"宮城峡 12年")</f>
        <v>宮城峡 12年</v>
      </c>
      <c r="H24" s="35"/>
      <c r="I24" s="35"/>
      <c r="J24" s="35"/>
      <c r="K24" s="35"/>
      <c r="L24" s="35"/>
      <c r="M24" s="35"/>
      <c r="N24" s="36">
        <f>IFERROR(__xludf.DUMMYFUNCTION("""COMPUTED_VALUE"""),0.45)</f>
        <v>0.45</v>
      </c>
      <c r="O24" s="35"/>
      <c r="P24" s="37">
        <f>IFERROR(__xludf.DUMMYFUNCTION("""COMPUTED_VALUE"""),2600.0)</f>
        <v>2600</v>
      </c>
      <c r="Q24" s="37">
        <f>IFERROR(__xludf.DUMMYFUNCTION("""COMPUTED_VALUE"""),1400.0)</f>
        <v>1400</v>
      </c>
      <c r="R24" s="37"/>
      <c r="S24" s="38">
        <f>IFERROR(__xludf.DUMMYFUNCTION("""COMPUTED_VALUE"""),44893.0)</f>
        <v>44893</v>
      </c>
      <c r="T24" s="35"/>
      <c r="U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IFERROR(__xludf.DUMMYFUNCTION("""COMPUTED_VALUE"""),"ニッカ")</f>
        <v>ニッカ</v>
      </c>
      <c r="C25" s="35" t="str">
        <f>IFERROR(__xludf.DUMMYFUNCTION("""COMPUTED_VALUE"""),"ニッカ")</f>
        <v>ニッカ</v>
      </c>
      <c r="D25" s="35" t="str">
        <f>IFERROR(__xludf.DUMMYFUNCTION("""COMPUTED_VALUE"""),"宮城峡")</f>
        <v>宮城峡</v>
      </c>
      <c r="E25" s="35" t="str">
        <f>IFERROR(__xludf.DUMMYFUNCTION("""COMPUTED_VALUE"""),"シングルモルト")</f>
        <v>シングルモルト</v>
      </c>
      <c r="F25" s="35"/>
      <c r="G25" s="35" t="str">
        <f>IFERROR(__xludf.DUMMYFUNCTION("""COMPUTED_VALUE"""),"宮城峡 15年")</f>
        <v>宮城峡 15年</v>
      </c>
      <c r="H25" s="35"/>
      <c r="I25" s="35"/>
      <c r="J25" s="35"/>
      <c r="K25" s="35"/>
      <c r="L25" s="35"/>
      <c r="M25" s="35"/>
      <c r="N25" s="36">
        <f>IFERROR(__xludf.DUMMYFUNCTION("""COMPUTED_VALUE"""),0.45)</f>
        <v>0.45</v>
      </c>
      <c r="O25" s="35"/>
      <c r="P25" s="37">
        <f>IFERROR(__xludf.DUMMYFUNCTION("""COMPUTED_VALUE"""),4000.0)</f>
        <v>4000</v>
      </c>
      <c r="Q25" s="37">
        <f>IFERROR(__xludf.DUMMYFUNCTION("""COMPUTED_VALUE"""),2200.0)</f>
        <v>2200</v>
      </c>
      <c r="R25" s="37"/>
      <c r="S25" s="38">
        <f>IFERROR(__xludf.DUMMYFUNCTION("""COMPUTED_VALUE"""),45303.0)</f>
        <v>45303</v>
      </c>
      <c r="T25" s="35"/>
      <c r="U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IFERROR(__xludf.DUMMYFUNCTION("""COMPUTED_VALUE"""),"ニッカ")</f>
        <v>ニッカ</v>
      </c>
      <c r="C26" s="35" t="str">
        <f>IFERROR(__xludf.DUMMYFUNCTION("""COMPUTED_VALUE"""),"ニッカ")</f>
        <v>ニッカ</v>
      </c>
      <c r="D26" s="35" t="str">
        <f>IFERROR(__xludf.DUMMYFUNCTION("""COMPUTED_VALUE"""),"宮城峡")</f>
        <v>宮城峡</v>
      </c>
      <c r="E26" s="35" t="str">
        <f>IFERROR(__xludf.DUMMYFUNCTION("""COMPUTED_VALUE"""),"シングルモルト")</f>
        <v>シングルモルト</v>
      </c>
      <c r="F26" s="35"/>
      <c r="G26" s="35" t="str">
        <f>IFERROR(__xludf.DUMMYFUNCTION("""COMPUTED_VALUE"""),"宮城峡 グランデ")</f>
        <v>宮城峡 グランデ</v>
      </c>
      <c r="H26" s="35" t="str">
        <f>IFERROR(__xludf.DUMMYFUNCTION("""COMPUTED_VALUE"""),"免税店限定")</f>
        <v>免税店限定</v>
      </c>
      <c r="I26" s="35"/>
      <c r="J26" s="35"/>
      <c r="K26" s="35"/>
      <c r="L26" s="35" t="str">
        <f>IFERROR(__xludf.DUMMYFUNCTION("""COMPUTED_VALUE"""),"✓")</f>
        <v>✓</v>
      </c>
      <c r="M26" s="35"/>
      <c r="N26" s="36">
        <f>IFERROR(__xludf.DUMMYFUNCTION("""COMPUTED_VALUE"""),0.48)</f>
        <v>0.48</v>
      </c>
      <c r="O26" s="35"/>
      <c r="P26" s="37">
        <f>IFERROR(__xludf.DUMMYFUNCTION("""COMPUTED_VALUE"""),2200.0)</f>
        <v>2200</v>
      </c>
      <c r="Q26" s="37">
        <f>IFERROR(__xludf.DUMMYFUNCTION("""COMPUTED_VALUE"""),1200.0)</f>
        <v>1200</v>
      </c>
      <c r="R26" s="37"/>
      <c r="S26" s="38">
        <f>IFERROR(__xludf.DUMMYFUNCTION("""COMPUTED_VALUE"""),44971.0)</f>
        <v>44971</v>
      </c>
      <c r="T26" s="35"/>
      <c r="U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IFERROR(__xludf.DUMMYFUNCTION("""COMPUTED_VALUE"""),"ニッカ")</f>
        <v>ニッカ</v>
      </c>
      <c r="C27" s="35" t="str">
        <f>IFERROR(__xludf.DUMMYFUNCTION("""COMPUTED_VALUE"""),"ニッカ")</f>
        <v>ニッカ</v>
      </c>
      <c r="D27" s="35" t="str">
        <f>IFERROR(__xludf.DUMMYFUNCTION("""COMPUTED_VALUE"""),"宮城峡")</f>
        <v>宮城峡</v>
      </c>
      <c r="E27" s="35" t="str">
        <f>IFERROR(__xludf.DUMMYFUNCTION("""COMPUTED_VALUE"""),"シングルモルト")</f>
        <v>シングルモルト</v>
      </c>
      <c r="F27" s="35"/>
      <c r="G27" s="35" t="str">
        <f>IFERROR(__xludf.DUMMYFUNCTION("""COMPUTED_VALUE"""),"宮城峡 2000’")</f>
        <v>宮城峡 2000’</v>
      </c>
      <c r="H27" s="35" t="str">
        <f>IFERROR(__xludf.DUMMYFUNCTION("""COMPUTED_VALUE"""),"蒸溜所限定")</f>
        <v>蒸溜所限定</v>
      </c>
      <c r="I27" s="35"/>
      <c r="J27" s="35"/>
      <c r="K27" s="35"/>
      <c r="L27" s="35"/>
      <c r="M27" s="35"/>
      <c r="N27" s="36">
        <f>IFERROR(__xludf.DUMMYFUNCTION("""COMPUTED_VALUE"""),0.57)</f>
        <v>0.57</v>
      </c>
      <c r="O27" s="35"/>
      <c r="P27" s="37">
        <f>IFERROR(__xludf.DUMMYFUNCTION("""COMPUTED_VALUE"""),2600.0)</f>
        <v>2600</v>
      </c>
      <c r="Q27" s="37">
        <f>IFERROR(__xludf.DUMMYFUNCTION("""COMPUTED_VALUE"""),1400.0)</f>
        <v>1400</v>
      </c>
      <c r="R27" s="37"/>
      <c r="S27" s="38">
        <f>IFERROR(__xludf.DUMMYFUNCTION("""COMPUTED_VALUE"""),45267.0)</f>
        <v>45267</v>
      </c>
      <c r="T27" s="35"/>
      <c r="U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IFERROR(__xludf.DUMMYFUNCTION("""COMPUTED_VALUE"""),"ニッカ")</f>
        <v>ニッカ</v>
      </c>
      <c r="C28" s="35" t="str">
        <f>IFERROR(__xludf.DUMMYFUNCTION("""COMPUTED_VALUE"""),"ニッカ")</f>
        <v>ニッカ</v>
      </c>
      <c r="D28" s="35" t="str">
        <f>IFERROR(__xludf.DUMMYFUNCTION("""COMPUTED_VALUE"""),"宮城峡")</f>
        <v>宮城峡</v>
      </c>
      <c r="E28" s="35" t="str">
        <f>IFERROR(__xludf.DUMMYFUNCTION("""COMPUTED_VALUE"""),"シングルモルト")</f>
        <v>シングルモルト</v>
      </c>
      <c r="F28" s="35"/>
      <c r="G28" s="35" t="str">
        <f>IFERROR(__xludf.DUMMYFUNCTION("""COMPUTED_VALUE"""),"宮城峡 フルーティ&amp;リッチ")</f>
        <v>宮城峡 フルーティ&amp;リッチ</v>
      </c>
      <c r="H28" s="35" t="str">
        <f>IFERROR(__xludf.DUMMYFUNCTION("""COMPUTED_VALUE"""),"蒸溜所限定")</f>
        <v>蒸溜所限定</v>
      </c>
      <c r="I28" s="35"/>
      <c r="J28" s="35"/>
      <c r="K28" s="35"/>
      <c r="L28" s="35" t="str">
        <f>IFERROR(__xludf.DUMMYFUNCTION("""COMPUTED_VALUE"""),"✓")</f>
        <v>✓</v>
      </c>
      <c r="M28" s="35"/>
      <c r="N28" s="36">
        <f>IFERROR(__xludf.DUMMYFUNCTION("""COMPUTED_VALUE"""),0.55)</f>
        <v>0.55</v>
      </c>
      <c r="O28" s="35"/>
      <c r="P28" s="37">
        <f>IFERROR(__xludf.DUMMYFUNCTION("""COMPUTED_VALUE"""),2000.0)</f>
        <v>2000</v>
      </c>
      <c r="Q28" s="37">
        <f>IFERROR(__xludf.DUMMYFUNCTION("""COMPUTED_VALUE"""),1100.0)</f>
        <v>1100</v>
      </c>
      <c r="R28" s="37"/>
      <c r="S28" s="38">
        <f>IFERROR(__xludf.DUMMYFUNCTION("""COMPUTED_VALUE"""),45304.0)</f>
        <v>45304</v>
      </c>
      <c r="T28" s="35"/>
      <c r="U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IFERROR(__xludf.DUMMYFUNCTION("""COMPUTED_VALUE"""),"ニッカ")</f>
        <v>ニッカ</v>
      </c>
      <c r="C29" s="35" t="str">
        <f>IFERROR(__xludf.DUMMYFUNCTION("""COMPUTED_VALUE"""),"ニッカ")</f>
        <v>ニッカ</v>
      </c>
      <c r="D29" s="35" t="str">
        <f>IFERROR(__xludf.DUMMYFUNCTION("""COMPUTED_VALUE"""),"宮城峡")</f>
        <v>宮城峡</v>
      </c>
      <c r="E29" s="35" t="str">
        <f>IFERROR(__xludf.DUMMYFUNCTION("""COMPUTED_VALUE"""),"シングルモルト")</f>
        <v>シングルモルト</v>
      </c>
      <c r="F29" s="35"/>
      <c r="G29" s="35" t="str">
        <f>IFERROR(__xludf.DUMMYFUNCTION("""COMPUTED_VALUE"""),"宮城峡 モルティ&amp;ソフト")</f>
        <v>宮城峡 モルティ&amp;ソフト</v>
      </c>
      <c r="H29" s="35" t="str">
        <f>IFERROR(__xludf.DUMMYFUNCTION("""COMPUTED_VALUE"""),"蒸溜所限定")</f>
        <v>蒸溜所限定</v>
      </c>
      <c r="I29" s="35"/>
      <c r="J29" s="35"/>
      <c r="K29" s="35"/>
      <c r="L29" s="35" t="str">
        <f>IFERROR(__xludf.DUMMYFUNCTION("""COMPUTED_VALUE"""),"✓")</f>
        <v>✓</v>
      </c>
      <c r="M29" s="35"/>
      <c r="N29" s="36">
        <f>IFERROR(__xludf.DUMMYFUNCTION("""COMPUTED_VALUE"""),0.55)</f>
        <v>0.55</v>
      </c>
      <c r="O29" s="35"/>
      <c r="P29" s="37">
        <f>IFERROR(__xludf.DUMMYFUNCTION("""COMPUTED_VALUE"""),2000.0)</f>
        <v>2000</v>
      </c>
      <c r="Q29" s="37">
        <f>IFERROR(__xludf.DUMMYFUNCTION("""COMPUTED_VALUE"""),1100.0)</f>
        <v>1100</v>
      </c>
      <c r="R29" s="37"/>
      <c r="S29" s="38">
        <f>IFERROR(__xludf.DUMMYFUNCTION("""COMPUTED_VALUE"""),45307.0)</f>
        <v>45307</v>
      </c>
      <c r="T29" s="35"/>
      <c r="U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IFERROR(__xludf.DUMMYFUNCTION("""COMPUTED_VALUE"""),"ニッカ")</f>
        <v>ニッカ</v>
      </c>
      <c r="C30" s="35" t="str">
        <f>IFERROR(__xludf.DUMMYFUNCTION("""COMPUTED_VALUE"""),"ニッカ")</f>
        <v>ニッカ</v>
      </c>
      <c r="D30" s="35" t="str">
        <f>IFERROR(__xludf.DUMMYFUNCTION("""COMPUTED_VALUE"""),"宮城峡")</f>
        <v>宮城峡</v>
      </c>
      <c r="E30" s="35" t="str">
        <f>IFERROR(__xludf.DUMMYFUNCTION("""COMPUTED_VALUE"""),"シングルモルト")</f>
        <v>シングルモルト</v>
      </c>
      <c r="F30" s="35"/>
      <c r="G30" s="35" t="str">
        <f>IFERROR(__xludf.DUMMYFUNCTION("""COMPUTED_VALUE"""),"宮城峡 モルティ&amp;ソルト 12年")</f>
        <v>宮城峡 モルティ&amp;ソルト 12年</v>
      </c>
      <c r="H30" s="35" t="str">
        <f>IFERROR(__xludf.DUMMYFUNCTION("""COMPUTED_VALUE"""),"蒸溜所限定")</f>
        <v>蒸溜所限定</v>
      </c>
      <c r="I30" s="35"/>
      <c r="J30" s="35"/>
      <c r="K30" s="35"/>
      <c r="L30" s="35"/>
      <c r="M30" s="35"/>
      <c r="N30" s="36">
        <f>IFERROR(__xludf.DUMMYFUNCTION("""COMPUTED_VALUE"""),0.55)</f>
        <v>0.55</v>
      </c>
      <c r="O30" s="35"/>
      <c r="P30" s="37">
        <f>IFERROR(__xludf.DUMMYFUNCTION("""COMPUTED_VALUE"""),3000.0)</f>
        <v>3000</v>
      </c>
      <c r="Q30" s="37">
        <f>IFERROR(__xludf.DUMMYFUNCTION("""COMPUTED_VALUE"""),1600.0)</f>
        <v>1600</v>
      </c>
      <c r="R30" s="37"/>
      <c r="S30" s="38">
        <f>IFERROR(__xludf.DUMMYFUNCTION("""COMPUTED_VALUE"""),45339.0)</f>
        <v>45339</v>
      </c>
      <c r="T30" s="35"/>
      <c r="U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IFERROR(__xludf.DUMMYFUNCTION("""COMPUTED_VALUE"""),"ニッカ")</f>
        <v>ニッカ</v>
      </c>
      <c r="C31" s="35" t="str">
        <f>IFERROR(__xludf.DUMMYFUNCTION("""COMPUTED_VALUE"""),"ニッカ")</f>
        <v>ニッカ</v>
      </c>
      <c r="D31" s="35" t="str">
        <f>IFERROR(__xludf.DUMMYFUNCTION("""COMPUTED_VALUE"""),"宮城峡")</f>
        <v>宮城峡</v>
      </c>
      <c r="E31" s="35" t="str">
        <f>IFERROR(__xludf.DUMMYFUNCTION("""COMPUTED_VALUE"""),"シングルモルト")</f>
        <v>シングルモルト</v>
      </c>
      <c r="F31" s="35"/>
      <c r="G31" s="35" t="str">
        <f>IFERROR(__xludf.DUMMYFUNCTION("""COMPUTED_VALUE"""),"宮城峡 シェリー&amp;スイート")</f>
        <v>宮城峡 シェリー&amp;スイート</v>
      </c>
      <c r="H31" s="35" t="str">
        <f>IFERROR(__xludf.DUMMYFUNCTION("""COMPUTED_VALUE"""),"蒸溜所限定")</f>
        <v>蒸溜所限定</v>
      </c>
      <c r="I31" s="35"/>
      <c r="J31" s="35"/>
      <c r="K31" s="35"/>
      <c r="L31" s="35" t="str">
        <f>IFERROR(__xludf.DUMMYFUNCTION("""COMPUTED_VALUE"""),"✓")</f>
        <v>✓</v>
      </c>
      <c r="M31" s="35"/>
      <c r="N31" s="36">
        <f>IFERROR(__xludf.DUMMYFUNCTION("""COMPUTED_VALUE"""),0.55)</f>
        <v>0.55</v>
      </c>
      <c r="O31" s="35"/>
      <c r="P31" s="37">
        <f>IFERROR(__xludf.DUMMYFUNCTION("""COMPUTED_VALUE"""),2000.0)</f>
        <v>2000</v>
      </c>
      <c r="Q31" s="37">
        <f>IFERROR(__xludf.DUMMYFUNCTION("""COMPUTED_VALUE"""),1100.0)</f>
        <v>1100</v>
      </c>
      <c r="R31" s="37"/>
      <c r="S31" s="38">
        <f>IFERROR(__xludf.DUMMYFUNCTION("""COMPUTED_VALUE"""),45308.0)</f>
        <v>45308</v>
      </c>
      <c r="T31" s="35"/>
      <c r="U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IFERROR(__xludf.DUMMYFUNCTION("""COMPUTED_VALUE"""),"ニッカ")</f>
        <v>ニッカ</v>
      </c>
      <c r="C32" s="35" t="str">
        <f>IFERROR(__xludf.DUMMYFUNCTION("""COMPUTED_VALUE"""),"ニッカ")</f>
        <v>ニッカ</v>
      </c>
      <c r="D32" s="35" t="str">
        <f>IFERROR(__xludf.DUMMYFUNCTION("""COMPUTED_VALUE"""),"宮城峡")</f>
        <v>宮城峡</v>
      </c>
      <c r="E32" s="35" t="str">
        <f>IFERROR(__xludf.DUMMYFUNCTION("""COMPUTED_VALUE"""),"シングルモルト")</f>
        <v>シングルモルト</v>
      </c>
      <c r="F32" s="35"/>
      <c r="G32" s="35" t="str">
        <f>IFERROR(__xludf.DUMMYFUNCTION("""COMPUTED_VALUE"""),"宮城峡 シェリー&amp;スイート 12年")</f>
        <v>宮城峡 シェリー&amp;スイート 12年</v>
      </c>
      <c r="H32" s="35" t="str">
        <f>IFERROR(__xludf.DUMMYFUNCTION("""COMPUTED_VALUE"""),"蒸溜所限定")</f>
        <v>蒸溜所限定</v>
      </c>
      <c r="I32" s="35"/>
      <c r="J32" s="35"/>
      <c r="K32" s="35"/>
      <c r="L32" s="35"/>
      <c r="M32" s="35"/>
      <c r="N32" s="36">
        <f>IFERROR(__xludf.DUMMYFUNCTION("""COMPUTED_VALUE"""),0.55)</f>
        <v>0.55</v>
      </c>
      <c r="O32" s="35"/>
      <c r="P32" s="37">
        <f>IFERROR(__xludf.DUMMYFUNCTION("""COMPUTED_VALUE"""),2600.0)</f>
        <v>2600</v>
      </c>
      <c r="Q32" s="37">
        <f>IFERROR(__xludf.DUMMYFUNCTION("""COMPUTED_VALUE"""),1400.0)</f>
        <v>1400</v>
      </c>
      <c r="R32" s="37"/>
      <c r="S32" s="38">
        <f>IFERROR(__xludf.DUMMYFUNCTION("""COMPUTED_VALUE"""),45329.0)</f>
        <v>45329</v>
      </c>
      <c r="T32" s="35"/>
      <c r="U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IFERROR(__xludf.DUMMYFUNCTION("""COMPUTED_VALUE"""),"ニッカ")</f>
        <v>ニッカ</v>
      </c>
      <c r="C33" s="35" t="str">
        <f>IFERROR(__xludf.DUMMYFUNCTION("""COMPUTED_VALUE"""),"ニッカ")</f>
        <v>ニッカ</v>
      </c>
      <c r="D33" s="35" t="str">
        <f>IFERROR(__xludf.DUMMYFUNCTION("""COMPUTED_VALUE"""),"宮城峡")</f>
        <v>宮城峡</v>
      </c>
      <c r="E33" s="35" t="str">
        <f>IFERROR(__xludf.DUMMYFUNCTION("""COMPUTED_VALUE"""),"シングルモルト")</f>
        <v>シングルモルト</v>
      </c>
      <c r="F33" s="35"/>
      <c r="G33" s="35" t="str">
        <f>IFERROR(__xludf.DUMMYFUNCTION("""COMPUTED_VALUE"""),"宮城峡 モスカテルウッドフィニッシュ")</f>
        <v>宮城峡 モスカテルウッドフィニッシュ</v>
      </c>
      <c r="H33" s="35"/>
      <c r="I33" s="35"/>
      <c r="J33" s="35"/>
      <c r="K33" s="35"/>
      <c r="L33" s="35"/>
      <c r="M33" s="35"/>
      <c r="N33" s="36">
        <f>IFERROR(__xludf.DUMMYFUNCTION("""COMPUTED_VALUE"""),0.46)</f>
        <v>0.46</v>
      </c>
      <c r="O33" s="35">
        <f>IFERROR(__xludf.DUMMYFUNCTION("""COMPUTED_VALUE"""),3500.0)</f>
        <v>3500</v>
      </c>
      <c r="P33" s="37">
        <f>IFERROR(__xludf.DUMMYFUNCTION("""COMPUTED_VALUE"""),3000.0)</f>
        <v>3000</v>
      </c>
      <c r="Q33" s="37">
        <f>IFERROR(__xludf.DUMMYFUNCTION("""COMPUTED_VALUE"""),1600.0)</f>
        <v>1600</v>
      </c>
      <c r="R33" s="37"/>
      <c r="S33" s="38">
        <f>IFERROR(__xludf.DUMMYFUNCTION("""COMPUTED_VALUE"""),45216.0)</f>
        <v>45216</v>
      </c>
      <c r="T33" s="35"/>
      <c r="U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IFERROR(__xludf.DUMMYFUNCTION("""COMPUTED_VALUE"""),"ニッカ")</f>
        <v>ニッカ</v>
      </c>
      <c r="C34" s="35" t="str">
        <f>IFERROR(__xludf.DUMMYFUNCTION("""COMPUTED_VALUE"""),"ニッカ")</f>
        <v>ニッカ</v>
      </c>
      <c r="D34" s="35" t="str">
        <f>IFERROR(__xludf.DUMMYFUNCTION("""COMPUTED_VALUE"""),"宮城峡")</f>
        <v>宮城峡</v>
      </c>
      <c r="E34" s="35" t="str">
        <f>IFERROR(__xludf.DUMMYFUNCTION("""COMPUTED_VALUE"""),"シングルモルト")</f>
        <v>シングルモルト</v>
      </c>
      <c r="F34" s="35"/>
      <c r="G34" s="35" t="str">
        <f>IFERROR(__xludf.DUMMYFUNCTION("""COMPUTED_VALUE"""),"宮城峡 マンサニーリャウッドフィニッシュ")</f>
        <v>宮城峡 マンサニーリャウッドフィニッシュ</v>
      </c>
      <c r="H34" s="35"/>
      <c r="I34" s="35"/>
      <c r="J34" s="35"/>
      <c r="K34" s="35"/>
      <c r="L34" s="35"/>
      <c r="M34" s="35"/>
      <c r="N34" s="36">
        <f>IFERROR(__xludf.DUMMYFUNCTION("""COMPUTED_VALUE"""),0.48)</f>
        <v>0.48</v>
      </c>
      <c r="O34" s="35">
        <f>IFERROR(__xludf.DUMMYFUNCTION("""COMPUTED_VALUE"""),4000.0)</f>
        <v>4000</v>
      </c>
      <c r="P34" s="37">
        <f>IFERROR(__xludf.DUMMYFUNCTION("""COMPUTED_VALUE"""),3000.0)</f>
        <v>3000</v>
      </c>
      <c r="Q34" s="37">
        <f>IFERROR(__xludf.DUMMYFUNCTION("""COMPUTED_VALUE"""),1600.0)</f>
        <v>1600</v>
      </c>
      <c r="R34" s="37"/>
      <c r="S34" s="38">
        <f>IFERROR(__xludf.DUMMYFUNCTION("""COMPUTED_VALUE"""),45220.0)</f>
        <v>45220</v>
      </c>
      <c r="T34" s="35"/>
      <c r="U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IFERROR(__xludf.DUMMYFUNCTION("""COMPUTED_VALUE"""),"ニッカ")</f>
        <v>ニッカ</v>
      </c>
      <c r="C35" s="35" t="str">
        <f>IFERROR(__xludf.DUMMYFUNCTION("""COMPUTED_VALUE"""),"ニッカ")</f>
        <v>ニッカ</v>
      </c>
      <c r="D35" s="35" t="str">
        <f>IFERROR(__xludf.DUMMYFUNCTION("""COMPUTED_VALUE"""),"宮城峡")</f>
        <v>宮城峡</v>
      </c>
      <c r="E35" s="35" t="str">
        <f>IFERROR(__xludf.DUMMYFUNCTION("""COMPUTED_VALUE"""),"シングルモルト")</f>
        <v>シングルモルト</v>
      </c>
      <c r="F35" s="35"/>
      <c r="G35" s="35" t="str">
        <f>IFERROR(__xludf.DUMMYFUNCTION("""COMPUTED_VALUE"""),"宮城峡 アップルブランデーウッドフィニッシュ")</f>
        <v>宮城峡 アップルブランデーウッドフィニッシュ</v>
      </c>
      <c r="H35" s="35"/>
      <c r="I35" s="35"/>
      <c r="J35" s="35"/>
      <c r="K35" s="35"/>
      <c r="L35" s="35"/>
      <c r="M35" s="35"/>
      <c r="N35" s="36">
        <f>IFERROR(__xludf.DUMMYFUNCTION("""COMPUTED_VALUE"""),0.47)</f>
        <v>0.47</v>
      </c>
      <c r="O35" s="35">
        <f>IFERROR(__xludf.DUMMYFUNCTION("""COMPUTED_VALUE"""),6450.0)</f>
        <v>6450</v>
      </c>
      <c r="P35" s="37">
        <f>IFERROR(__xludf.DUMMYFUNCTION("""COMPUTED_VALUE"""),3000.0)</f>
        <v>3000</v>
      </c>
      <c r="Q35" s="37">
        <f>IFERROR(__xludf.DUMMYFUNCTION("""COMPUTED_VALUE"""),1600.0)</f>
        <v>1600</v>
      </c>
      <c r="R35" s="37"/>
      <c r="S35" s="38">
        <f>IFERROR(__xludf.DUMMYFUNCTION("""COMPUTED_VALUE"""),45225.0)</f>
        <v>45225</v>
      </c>
      <c r="T35" s="35"/>
      <c r="U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IFERROR(__xludf.DUMMYFUNCTION("""COMPUTED_VALUE"""),"ニッカ")</f>
        <v>ニッカ</v>
      </c>
      <c r="C36" s="35" t="str">
        <f>IFERROR(__xludf.DUMMYFUNCTION("""COMPUTED_VALUE"""),"ニッカ")</f>
        <v>ニッカ</v>
      </c>
      <c r="D36" s="35" t="str">
        <f>IFERROR(__xludf.DUMMYFUNCTION("""COMPUTED_VALUE"""),"宮城峡")</f>
        <v>宮城峡</v>
      </c>
      <c r="E36" s="35" t="str">
        <f>IFERROR(__xludf.DUMMYFUNCTION("""COMPUTED_VALUE"""),"シングルモルト")</f>
        <v>シングルモルト</v>
      </c>
      <c r="F36" s="35"/>
      <c r="G36" s="35" t="str">
        <f>IFERROR(__xludf.DUMMYFUNCTION("""COMPUTED_VALUE"""),"宮城峡 ピーテッド")</f>
        <v>宮城峡 ピーテッド</v>
      </c>
      <c r="H36" s="35" t="str">
        <f>IFERROR(__xludf.DUMMYFUNCTION("""COMPUTED_VALUE"""),"ディスカバリーシリーズ")</f>
        <v>ディスカバリーシリーズ</v>
      </c>
      <c r="I36" s="35"/>
      <c r="J36" s="35"/>
      <c r="K36" s="35"/>
      <c r="L36" s="35"/>
      <c r="M36" s="35"/>
      <c r="N36" s="36">
        <f>IFERROR(__xludf.DUMMYFUNCTION("""COMPUTED_VALUE"""),0.48)</f>
        <v>0.48</v>
      </c>
      <c r="O36" s="35">
        <f>IFERROR(__xludf.DUMMYFUNCTION("""COMPUTED_VALUE"""),10000.0)</f>
        <v>10000</v>
      </c>
      <c r="P36" s="37">
        <f>IFERROR(__xludf.DUMMYFUNCTION("""COMPUTED_VALUE"""),3000.0)</f>
        <v>3000</v>
      </c>
      <c r="Q36" s="37">
        <f>IFERROR(__xludf.DUMMYFUNCTION("""COMPUTED_VALUE"""),1600.0)</f>
        <v>1600</v>
      </c>
      <c r="R36" s="37"/>
      <c r="S36" s="38">
        <f>IFERROR(__xludf.DUMMYFUNCTION("""COMPUTED_VALUE"""),44789.0)</f>
        <v>44789</v>
      </c>
      <c r="T36" s="35"/>
      <c r="U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IFERROR(__xludf.DUMMYFUNCTION("""COMPUTED_VALUE"""),"ニッカ")</f>
        <v>ニッカ</v>
      </c>
      <c r="C37" s="35" t="str">
        <f>IFERROR(__xludf.DUMMYFUNCTION("""COMPUTED_VALUE"""),"ニッカ")</f>
        <v>ニッカ</v>
      </c>
      <c r="D37" s="35" t="str">
        <f>IFERROR(__xludf.DUMMYFUNCTION("""COMPUTED_VALUE"""),"宮城峡")</f>
        <v>宮城峡</v>
      </c>
      <c r="E37" s="35" t="str">
        <f>IFERROR(__xludf.DUMMYFUNCTION("""COMPUTED_VALUE"""),"シングルモルト")</f>
        <v>シングルモルト</v>
      </c>
      <c r="F37" s="35"/>
      <c r="G37" s="35" t="str">
        <f>IFERROR(__xludf.DUMMYFUNCTION("""COMPUTED_VALUE"""),"宮城峡 アロマティックイースト")</f>
        <v>宮城峡 アロマティックイースト</v>
      </c>
      <c r="H37" s="35" t="str">
        <f>IFERROR(__xludf.DUMMYFUNCTION("""COMPUTED_VALUE"""),"ディスカバリーシリーズ")</f>
        <v>ディスカバリーシリーズ</v>
      </c>
      <c r="I37" s="35"/>
      <c r="J37" s="35"/>
      <c r="K37" s="35"/>
      <c r="L37" s="35"/>
      <c r="M37" s="35"/>
      <c r="N37" s="36">
        <f>IFERROR(__xludf.DUMMYFUNCTION("""COMPUTED_VALUE"""),0.47)</f>
        <v>0.47</v>
      </c>
      <c r="O37" s="35">
        <f>IFERROR(__xludf.DUMMYFUNCTION("""COMPUTED_VALUE"""),10000.0)</f>
        <v>10000</v>
      </c>
      <c r="P37" s="37">
        <f>IFERROR(__xludf.DUMMYFUNCTION("""COMPUTED_VALUE"""),3000.0)</f>
        <v>3000</v>
      </c>
      <c r="Q37" s="37">
        <f>IFERROR(__xludf.DUMMYFUNCTION("""COMPUTED_VALUE"""),1600.0)</f>
        <v>1600</v>
      </c>
      <c r="R37" s="37"/>
      <c r="S37" s="38">
        <f>IFERROR(__xludf.DUMMYFUNCTION("""COMPUTED_VALUE"""),45245.0)</f>
        <v>45245</v>
      </c>
      <c r="T37" s="35"/>
      <c r="U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IFERROR(__xludf.DUMMYFUNCTION("""COMPUTED_VALUE"""),"ニッカ")</f>
        <v>ニッカ</v>
      </c>
      <c r="C38" s="35" t="str">
        <f>IFERROR(__xludf.DUMMYFUNCTION("""COMPUTED_VALUE"""),"ニッカ")</f>
        <v>ニッカ</v>
      </c>
      <c r="D38" s="35" t="str">
        <f>IFERROR(__xludf.DUMMYFUNCTION("""COMPUTED_VALUE"""),"宮城峡")</f>
        <v>宮城峡</v>
      </c>
      <c r="E38" s="35" t="str">
        <f>IFERROR(__xludf.DUMMYFUNCTION("""COMPUTED_VALUE"""),"シングルモルト")</f>
        <v>シングルモルト</v>
      </c>
      <c r="F38" s="35"/>
      <c r="G38" s="35" t="str">
        <f>IFERROR(__xludf.DUMMYFUNCTION("""COMPUTED_VALUE"""),"仙台 12年")</f>
        <v>仙台 12年</v>
      </c>
      <c r="H38" s="35"/>
      <c r="I38" s="35"/>
      <c r="J38" s="35"/>
      <c r="K38" s="35"/>
      <c r="L38" s="35"/>
      <c r="M38" s="35"/>
      <c r="N38" s="36">
        <f>IFERROR(__xludf.DUMMYFUNCTION("""COMPUTED_VALUE"""),0.45)</f>
        <v>0.45</v>
      </c>
      <c r="O38" s="35"/>
      <c r="P38" s="37">
        <f>IFERROR(__xludf.DUMMYFUNCTION("""COMPUTED_VALUE"""),3000.0)</f>
        <v>3000</v>
      </c>
      <c r="Q38" s="37">
        <f>IFERROR(__xludf.DUMMYFUNCTION("""COMPUTED_VALUE"""),1600.0)</f>
        <v>1600</v>
      </c>
      <c r="R38" s="37"/>
      <c r="S38" s="38">
        <f>IFERROR(__xludf.DUMMYFUNCTION("""COMPUTED_VALUE"""),45332.0)</f>
        <v>45332</v>
      </c>
      <c r="T38" s="35"/>
      <c r="U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IFERROR(__xludf.DUMMYFUNCTION("""COMPUTED_VALUE"""),"ニッカ")</f>
        <v>ニッカ</v>
      </c>
      <c r="C39" s="35" t="str">
        <f>IFERROR(__xludf.DUMMYFUNCTION("""COMPUTED_VALUE"""),"ニッカ")</f>
        <v>ニッカ</v>
      </c>
      <c r="D39" s="35"/>
      <c r="E39" s="35" t="str">
        <f>IFERROR(__xludf.DUMMYFUNCTION("""COMPUTED_VALUE"""),"ブレンデッドモルト")</f>
        <v>ブレンデッドモルト</v>
      </c>
      <c r="F39" s="35"/>
      <c r="G39" s="35" t="str">
        <f>IFERROR(__xludf.DUMMYFUNCTION("""COMPUTED_VALUE"""),"竹鶴")</f>
        <v>竹鶴</v>
      </c>
      <c r="H39" s="35"/>
      <c r="I39" s="35"/>
      <c r="J39" s="35"/>
      <c r="K39" s="35"/>
      <c r="L39" s="35" t="str">
        <f>IFERROR(__xludf.DUMMYFUNCTION("""COMPUTED_VALUE"""),"✓")</f>
        <v>✓</v>
      </c>
      <c r="M39" s="35"/>
      <c r="N39" s="36">
        <f>IFERROR(__xludf.DUMMYFUNCTION("""COMPUTED_VALUE"""),0.43)</f>
        <v>0.43</v>
      </c>
      <c r="O39" s="35"/>
      <c r="P39" s="37">
        <f>IFERROR(__xludf.DUMMYFUNCTION("""COMPUTED_VALUE"""),1300.0)</f>
        <v>1300</v>
      </c>
      <c r="Q39" s="37">
        <f>IFERROR(__xludf.DUMMYFUNCTION("""COMPUTED_VALUE"""),750.0)</f>
        <v>750</v>
      </c>
      <c r="R39" s="37"/>
      <c r="S39" s="38">
        <f>IFERROR(__xludf.DUMMYFUNCTION("""COMPUTED_VALUE"""),45174.0)</f>
        <v>45174</v>
      </c>
      <c r="T39" s="35"/>
      <c r="U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IFERROR(__xludf.DUMMYFUNCTION("""COMPUTED_VALUE"""),"ニッカ")</f>
        <v>ニッカ</v>
      </c>
      <c r="C40" s="35" t="str">
        <f>IFERROR(__xludf.DUMMYFUNCTION("""COMPUTED_VALUE"""),"ニッカ")</f>
        <v>ニッカ</v>
      </c>
      <c r="D40" s="35"/>
      <c r="E40" s="35" t="str">
        <f>IFERROR(__xludf.DUMMYFUNCTION("""COMPUTED_VALUE"""),"ブレンデッドモルト")</f>
        <v>ブレンデッドモルト</v>
      </c>
      <c r="F40" s="35"/>
      <c r="G40" s="35" t="str">
        <f>IFERROR(__xludf.DUMMYFUNCTION("""COMPUTED_VALUE"""),"竹鶴 旧ボトル")</f>
        <v>竹鶴 旧ボトル</v>
      </c>
      <c r="H40" s="35"/>
      <c r="I40" s="35"/>
      <c r="J40" s="35"/>
      <c r="K40" s="35"/>
      <c r="L40" s="35"/>
      <c r="M40" s="35"/>
      <c r="N40" s="36">
        <f>IFERROR(__xludf.DUMMYFUNCTION("""COMPUTED_VALUE"""),0.43)</f>
        <v>0.43</v>
      </c>
      <c r="O40" s="35"/>
      <c r="P40" s="37">
        <f>IFERROR(__xludf.DUMMYFUNCTION("""COMPUTED_VALUE"""),1600.0)</f>
        <v>1600</v>
      </c>
      <c r="Q40" s="37">
        <f>IFERROR(__xludf.DUMMYFUNCTION("""COMPUTED_VALUE"""),900.0)</f>
        <v>900</v>
      </c>
      <c r="R40" s="37"/>
      <c r="S40" s="38"/>
      <c r="T40" s="35"/>
      <c r="U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IFERROR(__xludf.DUMMYFUNCTION("""COMPUTED_VALUE"""),"ニッカ")</f>
        <v>ニッカ</v>
      </c>
      <c r="C41" s="35" t="str">
        <f>IFERROR(__xludf.DUMMYFUNCTION("""COMPUTED_VALUE"""),"ニッカ")</f>
        <v>ニッカ</v>
      </c>
      <c r="D41" s="35"/>
      <c r="E41" s="35" t="str">
        <f>IFERROR(__xludf.DUMMYFUNCTION("""COMPUTED_VALUE"""),"ブレンデッドモルト")</f>
        <v>ブレンデッドモルト</v>
      </c>
      <c r="F41" s="35"/>
      <c r="G41" s="35" t="str">
        <f>IFERROR(__xludf.DUMMYFUNCTION("""COMPUTED_VALUE"""),"竹鶴 12年 角ボトル")</f>
        <v>竹鶴 12年 角ボトル</v>
      </c>
      <c r="H41" s="35"/>
      <c r="I41" s="35"/>
      <c r="J41" s="35"/>
      <c r="K41" s="35"/>
      <c r="L41" s="35"/>
      <c r="M41" s="35"/>
      <c r="N41" s="36">
        <f>IFERROR(__xludf.DUMMYFUNCTION("""COMPUTED_VALUE"""),0.4)</f>
        <v>0.4</v>
      </c>
      <c r="O41" s="35"/>
      <c r="P41" s="37">
        <f>IFERROR(__xludf.DUMMYFUNCTION("""COMPUTED_VALUE"""),3000.0)</f>
        <v>3000</v>
      </c>
      <c r="Q41" s="37">
        <f>IFERROR(__xludf.DUMMYFUNCTION("""COMPUTED_VALUE"""),1600.0)</f>
        <v>1600</v>
      </c>
      <c r="R41" s="37"/>
      <c r="S41" s="38">
        <f>IFERROR(__xludf.DUMMYFUNCTION("""COMPUTED_VALUE"""),45178.0)</f>
        <v>45178</v>
      </c>
      <c r="T41" s="35"/>
      <c r="U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IFERROR(__xludf.DUMMYFUNCTION("""COMPUTED_VALUE"""),"ニッカ")</f>
        <v>ニッカ</v>
      </c>
      <c r="C42" s="35" t="str">
        <f>IFERROR(__xludf.DUMMYFUNCTION("""COMPUTED_VALUE"""),"ニッカ")</f>
        <v>ニッカ</v>
      </c>
      <c r="D42" s="35"/>
      <c r="E42" s="35" t="str">
        <f>IFERROR(__xludf.DUMMYFUNCTION("""COMPUTED_VALUE"""),"ブレンデッドモルト")</f>
        <v>ブレンデッドモルト</v>
      </c>
      <c r="F42" s="35"/>
      <c r="G42" s="35" t="str">
        <f>IFERROR(__xludf.DUMMYFUNCTION("""COMPUTED_VALUE"""),"竹鶴 17年")</f>
        <v>竹鶴 17年</v>
      </c>
      <c r="H42" s="35"/>
      <c r="I42" s="35"/>
      <c r="J42" s="35"/>
      <c r="K42" s="35"/>
      <c r="L42" s="35"/>
      <c r="M42" s="35"/>
      <c r="N42" s="36">
        <f>IFERROR(__xludf.DUMMYFUNCTION("""COMPUTED_VALUE"""),0.43)</f>
        <v>0.43</v>
      </c>
      <c r="O42" s="35"/>
      <c r="P42" s="37">
        <f>IFERROR(__xludf.DUMMYFUNCTION("""COMPUTED_VALUE"""),4000.0)</f>
        <v>4000</v>
      </c>
      <c r="Q42" s="37">
        <f>IFERROR(__xludf.DUMMYFUNCTION("""COMPUTED_VALUE"""),2200.0)</f>
        <v>2200</v>
      </c>
      <c r="R42" s="37"/>
      <c r="S42" s="38">
        <f>IFERROR(__xludf.DUMMYFUNCTION("""COMPUTED_VALUE"""),45175.0)</f>
        <v>45175</v>
      </c>
      <c r="T42" s="35"/>
      <c r="U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IFERROR(__xludf.DUMMYFUNCTION("""COMPUTED_VALUE"""),"ニッカ")</f>
        <v>ニッカ</v>
      </c>
      <c r="C43" s="35" t="str">
        <f>IFERROR(__xludf.DUMMYFUNCTION("""COMPUTED_VALUE"""),"ニッカ")</f>
        <v>ニッカ</v>
      </c>
      <c r="D43" s="35"/>
      <c r="E43" s="35" t="str">
        <f>IFERROR(__xludf.DUMMYFUNCTION("""COMPUTED_VALUE"""),"ブレンデッドモルト")</f>
        <v>ブレンデッドモルト</v>
      </c>
      <c r="F43" s="35"/>
      <c r="G43" s="35" t="str">
        <f>IFERROR(__xludf.DUMMYFUNCTION("""COMPUTED_VALUE"""),"竹鶴 21年")</f>
        <v>竹鶴 21年</v>
      </c>
      <c r="H43" s="35"/>
      <c r="I43" s="35"/>
      <c r="J43" s="35"/>
      <c r="K43" s="35"/>
      <c r="L43" s="35"/>
      <c r="M43" s="35"/>
      <c r="N43" s="36">
        <f>IFERROR(__xludf.DUMMYFUNCTION("""COMPUTED_VALUE"""),0.43)</f>
        <v>0.43</v>
      </c>
      <c r="O43" s="35"/>
      <c r="P43" s="37"/>
      <c r="Q43" s="37"/>
      <c r="R43" s="37">
        <f>IFERROR(__xludf.DUMMYFUNCTION("""COMPUTED_VALUE"""),2200.0)</f>
        <v>2200</v>
      </c>
      <c r="S43" s="38">
        <f>IFERROR(__xludf.DUMMYFUNCTION("""COMPUTED_VALUE"""),45177.0)</f>
        <v>45177</v>
      </c>
      <c r="T43" s="35"/>
      <c r="U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IFERROR(__xludf.DUMMYFUNCTION("""COMPUTED_VALUE"""),"ニッカ")</f>
        <v>ニッカ</v>
      </c>
      <c r="C44" s="35" t="str">
        <f>IFERROR(__xludf.DUMMYFUNCTION("""COMPUTED_VALUE"""),"ニッカ")</f>
        <v>ニッカ</v>
      </c>
      <c r="D44" s="35"/>
      <c r="E44" s="35" t="str">
        <f>IFERROR(__xludf.DUMMYFUNCTION("""COMPUTED_VALUE"""),"ブレンデッドモルト")</f>
        <v>ブレンデッドモルト</v>
      </c>
      <c r="F44" s="35"/>
      <c r="G44" s="35" t="str">
        <f>IFERROR(__xludf.DUMMYFUNCTION("""COMPUTED_VALUE"""),"竹鶴 21年 ノンチルフィルタード")</f>
        <v>竹鶴 21年 ノンチルフィルタード</v>
      </c>
      <c r="H44" s="35" t="str">
        <f>IFERROR(__xludf.DUMMYFUNCTION("""COMPUTED_VALUE"""),"創業80周年記念")</f>
        <v>創業80周年記念</v>
      </c>
      <c r="I44" s="35"/>
      <c r="J44" s="35"/>
      <c r="K44" s="35"/>
      <c r="L44" s="35"/>
      <c r="M44" s="35"/>
      <c r="N44" s="36">
        <f>IFERROR(__xludf.DUMMYFUNCTION("""COMPUTED_VALUE"""),0.48)</f>
        <v>0.48</v>
      </c>
      <c r="O44" s="35">
        <f>IFERROR(__xludf.DUMMYFUNCTION("""COMPUTED_VALUE"""),3000.0)</f>
        <v>3000</v>
      </c>
      <c r="P44" s="37"/>
      <c r="Q44" s="37"/>
      <c r="R44" s="37">
        <f>IFERROR(__xludf.DUMMYFUNCTION("""COMPUTED_VALUE"""),2500.0)</f>
        <v>2500</v>
      </c>
      <c r="S44" s="38">
        <f>IFERROR(__xludf.DUMMYFUNCTION("""COMPUTED_VALUE"""),45007.0)</f>
        <v>45007</v>
      </c>
      <c r="T44" s="35"/>
      <c r="U44" s="35"/>
    </row>
    <row r="45" ht="15.75" customHeight="1">
      <c r="A45" s="35" t="str">
        <f>IFERROR(__xludf.DUMMYFUNCTION("""COMPUTED_VALUE"""),"JP")</f>
        <v>JP</v>
      </c>
      <c r="B45" s="35" t="str">
        <f>IFERROR(__xludf.DUMMYFUNCTION("""COMPUTED_VALUE"""),"ニッカ")</f>
        <v>ニッカ</v>
      </c>
      <c r="C45" s="35" t="str">
        <f>IFERROR(__xludf.DUMMYFUNCTION("""COMPUTED_VALUE"""),"ニッカ")</f>
        <v>ニッカ</v>
      </c>
      <c r="D45" s="35"/>
      <c r="E45" s="35" t="str">
        <f>IFERROR(__xludf.DUMMYFUNCTION("""COMPUTED_VALUE"""),"ブレンデッドモルト")</f>
        <v>ブレンデッドモルト</v>
      </c>
      <c r="F45" s="35"/>
      <c r="G45" s="35" t="str">
        <f>IFERROR(__xludf.DUMMYFUNCTION("""COMPUTED_VALUE"""),"竹鶴 25年")</f>
        <v>竹鶴 25年</v>
      </c>
      <c r="H45" s="35"/>
      <c r="I45" s="35"/>
      <c r="J45" s="35"/>
      <c r="K45" s="35"/>
      <c r="L45" s="35"/>
      <c r="M45" s="35"/>
      <c r="N45" s="36">
        <f>IFERROR(__xludf.DUMMYFUNCTION("""COMPUTED_VALUE"""),0.43)</f>
        <v>0.43</v>
      </c>
      <c r="O45" s="35"/>
      <c r="P45" s="37"/>
      <c r="Q45" s="37"/>
      <c r="R45" s="37">
        <f>IFERROR(__xludf.DUMMYFUNCTION("""COMPUTED_VALUE"""),8200.0)</f>
        <v>8200</v>
      </c>
      <c r="S45" s="38">
        <f>IFERROR(__xludf.DUMMYFUNCTION("""COMPUTED_VALUE"""),44901.0)</f>
        <v>44901</v>
      </c>
      <c r="T45" s="35"/>
      <c r="U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IFERROR(__xludf.DUMMYFUNCTION("""COMPUTED_VALUE"""),"ニッカ")</f>
        <v>ニッカ</v>
      </c>
      <c r="C46" s="35" t="str">
        <f>IFERROR(__xludf.DUMMYFUNCTION("""COMPUTED_VALUE"""),"ニッカ")</f>
        <v>ニッカ</v>
      </c>
      <c r="D46" s="35"/>
      <c r="E46" s="35" t="str">
        <f>IFERROR(__xludf.DUMMYFUNCTION("""COMPUTED_VALUE"""),"ブレンデッドモルト")</f>
        <v>ブレンデッドモルト</v>
      </c>
      <c r="F46" s="35"/>
      <c r="G46" s="35" t="str">
        <f>IFERROR(__xludf.DUMMYFUNCTION("""COMPUTED_VALUE"""),"ピュアモルト ブラック")</f>
        <v>ピュアモルト ブラック</v>
      </c>
      <c r="H46" s="35" t="str">
        <f>IFERROR(__xludf.DUMMYFUNCTION("""COMPUTED_VALUE"""),"蒸溜所限定")</f>
        <v>蒸溜所限定</v>
      </c>
      <c r="I46" s="35"/>
      <c r="J46" s="35"/>
      <c r="K46" s="35"/>
      <c r="L46" s="35" t="str">
        <f>IFERROR(__xludf.DUMMYFUNCTION("""COMPUTED_VALUE"""),"✓")</f>
        <v>✓</v>
      </c>
      <c r="M46" s="35"/>
      <c r="N46" s="36">
        <f>IFERROR(__xludf.DUMMYFUNCTION("""COMPUTED_VALUE"""),0.43)</f>
        <v>0.43</v>
      </c>
      <c r="O46" s="35"/>
      <c r="P46" s="37">
        <f>IFERROR(__xludf.DUMMYFUNCTION("""COMPUTED_VALUE"""),1400.0)</f>
        <v>1400</v>
      </c>
      <c r="Q46" s="37">
        <f>IFERROR(__xludf.DUMMYFUNCTION("""COMPUTED_VALUE"""),800.0)</f>
        <v>800</v>
      </c>
      <c r="R46" s="37"/>
      <c r="S46" s="38">
        <f>IFERROR(__xludf.DUMMYFUNCTION("""COMPUTED_VALUE"""),45617.0)</f>
        <v>45617</v>
      </c>
      <c r="T46" s="35"/>
      <c r="U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IFERROR(__xludf.DUMMYFUNCTION("""COMPUTED_VALUE"""),"ニッカ")</f>
        <v>ニッカ</v>
      </c>
      <c r="C47" s="35" t="str">
        <f>IFERROR(__xludf.DUMMYFUNCTION("""COMPUTED_VALUE"""),"ニッカ")</f>
        <v>ニッカ</v>
      </c>
      <c r="D47" s="35"/>
      <c r="E47" s="35" t="str">
        <f>IFERROR(__xludf.DUMMYFUNCTION("""COMPUTED_VALUE"""),"ブレンデッドモルト")</f>
        <v>ブレンデッドモルト</v>
      </c>
      <c r="F47" s="35"/>
      <c r="G47" s="35" t="str">
        <f>IFERROR(__xludf.DUMMYFUNCTION("""COMPUTED_VALUE"""),"ピュアモルト レッド")</f>
        <v>ピュアモルト レッド</v>
      </c>
      <c r="H47" s="35" t="str">
        <f>IFERROR(__xludf.DUMMYFUNCTION("""COMPUTED_VALUE"""),"蒸溜所限定")</f>
        <v>蒸溜所限定</v>
      </c>
      <c r="I47" s="35"/>
      <c r="J47" s="35"/>
      <c r="K47" s="35"/>
      <c r="L47" s="35" t="str">
        <f>IFERROR(__xludf.DUMMYFUNCTION("""COMPUTED_VALUE"""),"✓")</f>
        <v>✓</v>
      </c>
      <c r="M47" s="35"/>
      <c r="N47" s="36">
        <f>IFERROR(__xludf.DUMMYFUNCTION("""COMPUTED_VALUE"""),0.43)</f>
        <v>0.43</v>
      </c>
      <c r="O47" s="35"/>
      <c r="P47" s="37">
        <f>IFERROR(__xludf.DUMMYFUNCTION("""COMPUTED_VALUE"""),1400.0)</f>
        <v>1400</v>
      </c>
      <c r="Q47" s="37">
        <f>IFERROR(__xludf.DUMMYFUNCTION("""COMPUTED_VALUE"""),800.0)</f>
        <v>800</v>
      </c>
      <c r="R47" s="37"/>
      <c r="S47" s="38">
        <f>IFERROR(__xludf.DUMMYFUNCTION("""COMPUTED_VALUE"""),45619.0)</f>
        <v>45619</v>
      </c>
      <c r="T47" s="35"/>
      <c r="U47" s="35"/>
    </row>
    <row r="48" ht="15.75" customHeight="1">
      <c r="A48" s="35" t="str">
        <f>IFERROR(__xludf.DUMMYFUNCTION("""COMPUTED_VALUE"""),"JP")</f>
        <v>JP</v>
      </c>
      <c r="B48" s="35" t="str">
        <f>IFERROR(__xludf.DUMMYFUNCTION("""COMPUTED_VALUE"""),"ニッカ")</f>
        <v>ニッカ</v>
      </c>
      <c r="C48" s="35" t="str">
        <f>IFERROR(__xludf.DUMMYFUNCTION("""COMPUTED_VALUE"""),"ニッカ")</f>
        <v>ニッカ</v>
      </c>
      <c r="D48" s="35"/>
      <c r="E48" s="35" t="str">
        <f>IFERROR(__xludf.DUMMYFUNCTION("""COMPUTED_VALUE"""),"ブレンデッドモルト")</f>
        <v>ブレンデッドモルト</v>
      </c>
      <c r="F48" s="35"/>
      <c r="G48" s="35" t="str">
        <f>IFERROR(__xludf.DUMMYFUNCTION("""COMPUTED_VALUE"""),"セッション")</f>
        <v>セッション</v>
      </c>
      <c r="H48" s="35"/>
      <c r="I48" s="35"/>
      <c r="J48" s="35"/>
      <c r="K48" s="35"/>
      <c r="L48" s="35" t="str">
        <f>IFERROR(__xludf.DUMMYFUNCTION("""COMPUTED_VALUE"""),"✓")</f>
        <v>✓</v>
      </c>
      <c r="M48" s="35"/>
      <c r="N48" s="36">
        <f>IFERROR(__xludf.DUMMYFUNCTION("""COMPUTED_VALUE"""),0.43)</f>
        <v>0.43</v>
      </c>
      <c r="O48" s="35"/>
      <c r="P48" s="37">
        <f>IFERROR(__xludf.DUMMYFUNCTION("""COMPUTED_VALUE"""),1100.0)</f>
        <v>1100</v>
      </c>
      <c r="Q48" s="37">
        <f>IFERROR(__xludf.DUMMYFUNCTION("""COMPUTED_VALUE"""),650.0)</f>
        <v>650</v>
      </c>
      <c r="R48" s="37"/>
      <c r="S48" s="38"/>
      <c r="T48" s="35"/>
      <c r="U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IFERROR(__xludf.DUMMYFUNCTION("""COMPUTED_VALUE"""),"ニッカ")</f>
        <v>ニッカ</v>
      </c>
      <c r="C49" s="35" t="str">
        <f>IFERROR(__xludf.DUMMYFUNCTION("""COMPUTED_VALUE"""),"ニッカ")</f>
        <v>ニッカ</v>
      </c>
      <c r="D49" s="35" t="str">
        <f>IFERROR(__xludf.DUMMYFUNCTION("""COMPUTED_VALUE"""),"宮城峡")</f>
        <v>宮城峡</v>
      </c>
      <c r="E49" s="35" t="str">
        <f>IFERROR(__xludf.DUMMYFUNCTION("""COMPUTED_VALUE"""),"モルト")</f>
        <v>モルト</v>
      </c>
      <c r="F49" s="35"/>
      <c r="G49" s="35" t="str">
        <f>IFERROR(__xludf.DUMMYFUNCTION("""COMPUTED_VALUE"""),"カフェモルト")</f>
        <v>カフェモルト</v>
      </c>
      <c r="H49" s="35"/>
      <c r="I49" s="35"/>
      <c r="J49" s="35"/>
      <c r="K49" s="35"/>
      <c r="L49" s="35" t="str">
        <f>IFERROR(__xludf.DUMMYFUNCTION("""COMPUTED_VALUE"""),"✓")</f>
        <v>✓</v>
      </c>
      <c r="M49" s="35"/>
      <c r="N49" s="36">
        <f>IFERROR(__xludf.DUMMYFUNCTION("""COMPUTED_VALUE"""),0.45)</f>
        <v>0.45</v>
      </c>
      <c r="O49" s="35"/>
      <c r="P49" s="37">
        <f>IFERROR(__xludf.DUMMYFUNCTION("""COMPUTED_VALUE"""),1200.0)</f>
        <v>1200</v>
      </c>
      <c r="Q49" s="37">
        <f>IFERROR(__xludf.DUMMYFUNCTION("""COMPUTED_VALUE"""),700.0)</f>
        <v>700</v>
      </c>
      <c r="R49" s="37"/>
      <c r="S49" s="38">
        <f>IFERROR(__xludf.DUMMYFUNCTION("""COMPUTED_VALUE"""),45336.0)</f>
        <v>45336</v>
      </c>
      <c r="T49" s="35"/>
      <c r="U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IFERROR(__xludf.DUMMYFUNCTION("""COMPUTED_VALUE"""),"ニッカ")</f>
        <v>ニッカ</v>
      </c>
      <c r="C50" s="35" t="str">
        <f>IFERROR(__xludf.DUMMYFUNCTION("""COMPUTED_VALUE"""),"ニッカ")</f>
        <v>ニッカ</v>
      </c>
      <c r="D50" s="35"/>
      <c r="E50" s="35" t="str">
        <f>IFERROR(__xludf.DUMMYFUNCTION("""COMPUTED_VALUE"""),"モルト")</f>
        <v>モルト</v>
      </c>
      <c r="F50" s="35"/>
      <c r="G50" s="35" t="str">
        <f>IFERROR(__xludf.DUMMYFUNCTION("""COMPUTED_VALUE"""),"モルトクラブ")</f>
        <v>モルトクラブ</v>
      </c>
      <c r="H50" s="35"/>
      <c r="I50" s="35"/>
      <c r="J50" s="35"/>
      <c r="K50" s="35"/>
      <c r="L50" s="35"/>
      <c r="M50" s="35"/>
      <c r="N50" s="36">
        <f>IFERROR(__xludf.DUMMYFUNCTION("""COMPUTED_VALUE"""),0.4)</f>
        <v>0.4</v>
      </c>
      <c r="O50" s="35"/>
      <c r="P50" s="37">
        <f>IFERROR(__xludf.DUMMYFUNCTION("""COMPUTED_VALUE"""),1100.0)</f>
        <v>1100</v>
      </c>
      <c r="Q50" s="37">
        <f>IFERROR(__xludf.DUMMYFUNCTION("""COMPUTED_VALUE"""),650.0)</f>
        <v>650</v>
      </c>
      <c r="R50" s="37"/>
      <c r="S50" s="38">
        <f>IFERROR(__xludf.DUMMYFUNCTION("""COMPUTED_VALUE"""),45541.0)</f>
        <v>45541</v>
      </c>
      <c r="T50" s="35"/>
      <c r="U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IFERROR(__xludf.DUMMYFUNCTION("""COMPUTED_VALUE"""),"ニッカ")</f>
        <v>ニッカ</v>
      </c>
      <c r="C51" s="35" t="str">
        <f>IFERROR(__xludf.DUMMYFUNCTION("""COMPUTED_VALUE"""),"ニッカ")</f>
        <v>ニッカ</v>
      </c>
      <c r="D51" s="35" t="str">
        <f>IFERROR(__xludf.DUMMYFUNCTION("""COMPUTED_VALUE"""),"宮城峡")</f>
        <v>宮城峡</v>
      </c>
      <c r="E51" s="35" t="str">
        <f>IFERROR(__xludf.DUMMYFUNCTION("""COMPUTED_VALUE"""),"シングルグレーン")</f>
        <v>シングルグレーン</v>
      </c>
      <c r="F51" s="35"/>
      <c r="G51" s="35" t="str">
        <f>IFERROR(__xludf.DUMMYFUNCTION("""COMPUTED_VALUE"""),"カフェグレーン")</f>
        <v>カフェグレーン</v>
      </c>
      <c r="H51" s="35"/>
      <c r="I51" s="35"/>
      <c r="J51" s="35"/>
      <c r="K51" s="35"/>
      <c r="L51" s="35" t="str">
        <f>IFERROR(__xludf.DUMMYFUNCTION("""COMPUTED_VALUE"""),"✓")</f>
        <v>✓</v>
      </c>
      <c r="M51" s="35"/>
      <c r="N51" s="36">
        <f>IFERROR(__xludf.DUMMYFUNCTION("""COMPUTED_VALUE"""),0.45)</f>
        <v>0.45</v>
      </c>
      <c r="O51" s="35"/>
      <c r="P51" s="37">
        <f>IFERROR(__xludf.DUMMYFUNCTION("""COMPUTED_VALUE"""),1200.0)</f>
        <v>1200</v>
      </c>
      <c r="Q51" s="37">
        <f>IFERROR(__xludf.DUMMYFUNCTION("""COMPUTED_VALUE"""),700.0)</f>
        <v>700</v>
      </c>
      <c r="R51" s="37"/>
      <c r="S51" s="38">
        <f>IFERROR(__xludf.DUMMYFUNCTION("""COMPUTED_VALUE"""),45335.0)</f>
        <v>45335</v>
      </c>
      <c r="T51" s="35"/>
      <c r="U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IFERROR(__xludf.DUMMYFUNCTION("""COMPUTED_VALUE"""),"ニッカ")</f>
        <v>ニッカ</v>
      </c>
      <c r="C52" s="35" t="str">
        <f>IFERROR(__xludf.DUMMYFUNCTION("""COMPUTED_VALUE"""),"ニッカ")</f>
        <v>ニッカ</v>
      </c>
      <c r="D52" s="35" t="str">
        <f>IFERROR(__xludf.DUMMYFUNCTION("""COMPUTED_VALUE"""),"宮城峡")</f>
        <v>宮城峡</v>
      </c>
      <c r="E52" s="35" t="str">
        <f>IFERROR(__xludf.DUMMYFUNCTION("""COMPUTED_VALUE"""),"シングルグレーン")</f>
        <v>シングルグレーン</v>
      </c>
      <c r="F52" s="35"/>
      <c r="G52" s="35" t="str">
        <f>IFERROR(__xludf.DUMMYFUNCTION("""COMPUTED_VALUE"""),"シングルカフェグレーン ウッディ&amp;メロウ")</f>
        <v>シングルカフェグレーン ウッディ&amp;メロウ</v>
      </c>
      <c r="H52" s="35" t="str">
        <f>IFERROR(__xludf.DUMMYFUNCTION("""COMPUTED_VALUE"""),"蒸溜所限定")</f>
        <v>蒸溜所限定</v>
      </c>
      <c r="I52" s="35"/>
      <c r="J52" s="35"/>
      <c r="K52" s="35"/>
      <c r="L52" s="35" t="str">
        <f>IFERROR(__xludf.DUMMYFUNCTION("""COMPUTED_VALUE"""),"✓")</f>
        <v>✓</v>
      </c>
      <c r="M52" s="35"/>
      <c r="N52" s="36">
        <f>IFERROR(__xludf.DUMMYFUNCTION("""COMPUTED_VALUE"""),0.55)</f>
        <v>0.55</v>
      </c>
      <c r="O52" s="35"/>
      <c r="P52" s="37">
        <f>IFERROR(__xludf.DUMMYFUNCTION("""COMPUTED_VALUE"""),2000.0)</f>
        <v>2000</v>
      </c>
      <c r="Q52" s="37">
        <f>IFERROR(__xludf.DUMMYFUNCTION("""COMPUTED_VALUE"""),1100.0)</f>
        <v>1100</v>
      </c>
      <c r="R52" s="37"/>
      <c r="S52" s="38">
        <f>IFERROR(__xludf.DUMMYFUNCTION("""COMPUTED_VALUE"""),45344.0)</f>
        <v>45344</v>
      </c>
      <c r="T52" s="35"/>
      <c r="U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IFERROR(__xludf.DUMMYFUNCTION("""COMPUTED_VALUE"""),"ニッカ")</f>
        <v>ニッカ</v>
      </c>
      <c r="C53" s="35" t="str">
        <f>IFERROR(__xludf.DUMMYFUNCTION("""COMPUTED_VALUE"""),"ニッカ")</f>
        <v>ニッカ</v>
      </c>
      <c r="D53" s="35" t="str">
        <f>IFERROR(__xludf.DUMMYFUNCTION("""COMPUTED_VALUE"""),"宮城峡")</f>
        <v>宮城峡</v>
      </c>
      <c r="E53" s="35" t="str">
        <f>IFERROR(__xludf.DUMMYFUNCTION("""COMPUTED_VALUE"""),"シングルグレーン")</f>
        <v>シングルグレーン</v>
      </c>
      <c r="F53" s="35"/>
      <c r="G53" s="35" t="str">
        <f>IFERROR(__xludf.DUMMYFUNCTION("""COMPUTED_VALUE"""),"シングルカフェグレーン 12年 ウッディ&amp;メロウ")</f>
        <v>シングルカフェグレーン 12年 ウッディ&amp;メロウ</v>
      </c>
      <c r="H53" s="35" t="str">
        <f>IFERROR(__xludf.DUMMYFUNCTION("""COMPUTED_VALUE"""),"蒸溜所限定")</f>
        <v>蒸溜所限定</v>
      </c>
      <c r="I53" s="35"/>
      <c r="J53" s="35"/>
      <c r="K53" s="35"/>
      <c r="L53" s="35"/>
      <c r="M53" s="35"/>
      <c r="N53" s="36">
        <f>IFERROR(__xludf.DUMMYFUNCTION("""COMPUTED_VALUE"""),0.55)</f>
        <v>0.55</v>
      </c>
      <c r="O53" s="35"/>
      <c r="P53" s="37">
        <f>IFERROR(__xludf.DUMMYFUNCTION("""COMPUTED_VALUE"""),2600.0)</f>
        <v>2600</v>
      </c>
      <c r="Q53" s="37">
        <f>IFERROR(__xludf.DUMMYFUNCTION("""COMPUTED_VALUE"""),1400.0)</f>
        <v>1400</v>
      </c>
      <c r="R53" s="37"/>
      <c r="S53" s="38">
        <f>IFERROR(__xludf.DUMMYFUNCTION("""COMPUTED_VALUE"""),45345.0)</f>
        <v>45345</v>
      </c>
      <c r="T53" s="35"/>
      <c r="U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IFERROR(__xludf.DUMMYFUNCTION("""COMPUTED_VALUE"""),"ニッカ")</f>
        <v>ニッカ</v>
      </c>
      <c r="C54" s="35" t="str">
        <f>IFERROR(__xludf.DUMMYFUNCTION("""COMPUTED_VALUE"""),"ニッカ")</f>
        <v>ニッカ</v>
      </c>
      <c r="D54" s="35"/>
      <c r="E54" s="35" t="str">
        <f>IFERROR(__xludf.DUMMYFUNCTION("""COMPUTED_VALUE"""),"ブレンデッドグレーン")</f>
        <v>ブレンデッドグレーン</v>
      </c>
      <c r="F54" s="35"/>
      <c r="G54" s="35" t="str">
        <f>IFERROR(__xludf.DUMMYFUNCTION("""COMPUTED_VALUE"""),"ニッカ ザ・グレーン")</f>
        <v>ニッカ ザ・グレーン</v>
      </c>
      <c r="H54" s="35" t="str">
        <f>IFERROR(__xludf.DUMMYFUNCTION("""COMPUTED_VALUE"""),"ディスカバリーシリーズ")</f>
        <v>ディスカバリーシリーズ</v>
      </c>
      <c r="I54" s="35"/>
      <c r="J54" s="35"/>
      <c r="K54" s="35"/>
      <c r="L54" s="35"/>
      <c r="M54" s="35"/>
      <c r="N54" s="36">
        <f>IFERROR(__xludf.DUMMYFUNCTION("""COMPUTED_VALUE"""),0.48)</f>
        <v>0.48</v>
      </c>
      <c r="O54" s="35">
        <f>IFERROR(__xludf.DUMMYFUNCTION("""COMPUTED_VALUE"""),10000.0)</f>
        <v>10000</v>
      </c>
      <c r="P54" s="37">
        <f>IFERROR(__xludf.DUMMYFUNCTION("""COMPUTED_VALUE"""),2600.0)</f>
        <v>2600</v>
      </c>
      <c r="Q54" s="37">
        <f>IFERROR(__xludf.DUMMYFUNCTION("""COMPUTED_VALUE"""),1400.0)</f>
        <v>1400</v>
      </c>
      <c r="R54" s="37"/>
      <c r="S54" s="38">
        <f>IFERROR(__xludf.DUMMYFUNCTION("""COMPUTED_VALUE"""),45024.0)</f>
        <v>45024</v>
      </c>
      <c r="T54" s="35"/>
      <c r="U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IFERROR(__xludf.DUMMYFUNCTION("""COMPUTED_VALUE"""),"ニッカ")</f>
        <v>ニッカ</v>
      </c>
      <c r="C55" s="35" t="str">
        <f>IFERROR(__xludf.DUMMYFUNCTION("""COMPUTED_VALUE"""),"ニッカ")</f>
        <v>ニッカ</v>
      </c>
      <c r="D55" s="35"/>
      <c r="E55" s="35" t="str">
        <f>IFERROR(__xludf.DUMMYFUNCTION("""COMPUTED_VALUE"""),"ブレンデッド")</f>
        <v>ブレンデッド</v>
      </c>
      <c r="F55" s="35"/>
      <c r="G55" s="35" t="str">
        <f>IFERROR(__xludf.DUMMYFUNCTION("""COMPUTED_VALUE"""),"ザニッカ テーラード ")</f>
        <v>ザニッカ テーラード </v>
      </c>
      <c r="H55" s="35"/>
      <c r="I55" s="35"/>
      <c r="J55" s="35"/>
      <c r="K55" s="35"/>
      <c r="L55" s="35" t="str">
        <f>IFERROR(__xludf.DUMMYFUNCTION("""COMPUTED_VALUE"""),"✓")</f>
        <v>✓</v>
      </c>
      <c r="M55" s="35"/>
      <c r="N55" s="36">
        <f>IFERROR(__xludf.DUMMYFUNCTION("""COMPUTED_VALUE"""),0.43)</f>
        <v>0.43</v>
      </c>
      <c r="O55" s="35"/>
      <c r="P55" s="37">
        <f>IFERROR(__xludf.DUMMYFUNCTION("""COMPUTED_VALUE"""),1600.0)</f>
        <v>1600</v>
      </c>
      <c r="Q55" s="37">
        <f>IFERROR(__xludf.DUMMYFUNCTION("""COMPUTED_VALUE"""),900.0)</f>
        <v>900</v>
      </c>
      <c r="R55" s="37"/>
      <c r="S55" s="38">
        <f>IFERROR(__xludf.DUMMYFUNCTION("""COMPUTED_VALUE"""),45416.0)</f>
        <v>45416</v>
      </c>
      <c r="T55" s="35"/>
      <c r="U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IFERROR(__xludf.DUMMYFUNCTION("""COMPUTED_VALUE"""),"ニッカ")</f>
        <v>ニッカ</v>
      </c>
      <c r="C56" s="35" t="str">
        <f>IFERROR(__xludf.DUMMYFUNCTION("""COMPUTED_VALUE"""),"ニッカ")</f>
        <v>ニッカ</v>
      </c>
      <c r="D56" s="35"/>
      <c r="E56" s="35" t="str">
        <f>IFERROR(__xludf.DUMMYFUNCTION("""COMPUTED_VALUE"""),"ブレンデッド")</f>
        <v>ブレンデッド</v>
      </c>
      <c r="F56" s="35"/>
      <c r="G56" s="35" t="str">
        <f>IFERROR(__xludf.DUMMYFUNCTION("""COMPUTED_VALUE"""),"ザ・ニッカ 12年")</f>
        <v>ザ・ニッカ 12年</v>
      </c>
      <c r="H56" s="35"/>
      <c r="I56" s="35"/>
      <c r="J56" s="35"/>
      <c r="K56" s="35"/>
      <c r="L56" s="35"/>
      <c r="M56" s="35"/>
      <c r="N56" s="36">
        <f>IFERROR(__xludf.DUMMYFUNCTION("""COMPUTED_VALUE"""),0.43)</f>
        <v>0.43</v>
      </c>
      <c r="O56" s="35"/>
      <c r="P56" s="37">
        <f>IFERROR(__xludf.DUMMYFUNCTION("""COMPUTED_VALUE"""),2200.0)</f>
        <v>2200</v>
      </c>
      <c r="Q56" s="37">
        <f>IFERROR(__xludf.DUMMYFUNCTION("""COMPUTED_VALUE"""),1200.0)</f>
        <v>1200</v>
      </c>
      <c r="R56" s="37"/>
      <c r="S56" s="38">
        <f>IFERROR(__xludf.DUMMYFUNCTION("""COMPUTED_VALUE"""),45419.0)</f>
        <v>45419</v>
      </c>
      <c r="T56" s="35"/>
      <c r="U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IFERROR(__xludf.DUMMYFUNCTION("""COMPUTED_VALUE"""),"ニッカ")</f>
        <v>ニッカ</v>
      </c>
      <c r="C57" s="35" t="str">
        <f>IFERROR(__xludf.DUMMYFUNCTION("""COMPUTED_VALUE"""),"ニッカ")</f>
        <v>ニッカ</v>
      </c>
      <c r="D57" s="35"/>
      <c r="E57" s="35" t="str">
        <f>IFERROR(__xludf.DUMMYFUNCTION("""COMPUTED_VALUE"""),"ブレンデッド")</f>
        <v>ブレンデッド</v>
      </c>
      <c r="F57" s="35"/>
      <c r="G57" s="35" t="str">
        <f>IFERROR(__xludf.DUMMYFUNCTION("""COMPUTED_VALUE"""),"鶴")</f>
        <v>鶴</v>
      </c>
      <c r="H57" s="35" t="str">
        <f>IFERROR(__xludf.DUMMYFUNCTION("""COMPUTED_VALUE"""),"蒸溜所限定")</f>
        <v>蒸溜所限定</v>
      </c>
      <c r="I57" s="35"/>
      <c r="J57" s="35"/>
      <c r="K57" s="35"/>
      <c r="L57" s="35" t="str">
        <f>IFERROR(__xludf.DUMMYFUNCTION("""COMPUTED_VALUE"""),"✓")</f>
        <v>✓</v>
      </c>
      <c r="M57" s="35"/>
      <c r="N57" s="36">
        <f>IFERROR(__xludf.DUMMYFUNCTION("""COMPUTED_VALUE"""),0.43)</f>
        <v>0.43</v>
      </c>
      <c r="O57" s="35"/>
      <c r="P57" s="37">
        <f>IFERROR(__xludf.DUMMYFUNCTION("""COMPUTED_VALUE"""),3000.0)</f>
        <v>3000</v>
      </c>
      <c r="Q57" s="37">
        <f>IFERROR(__xludf.DUMMYFUNCTION("""COMPUTED_VALUE"""),1600.0)</f>
        <v>1600</v>
      </c>
      <c r="R57" s="37"/>
      <c r="S57" s="38">
        <f>IFERROR(__xludf.DUMMYFUNCTION("""COMPUTED_VALUE"""),45163.0)</f>
        <v>45163</v>
      </c>
      <c r="T57" s="35"/>
      <c r="U57" s="35"/>
    </row>
    <row r="58" ht="15.75" customHeight="1">
      <c r="A58" s="35" t="str">
        <f>IFERROR(__xludf.DUMMYFUNCTION("""COMPUTED_VALUE"""),"JP")</f>
        <v>JP</v>
      </c>
      <c r="B58" s="35" t="str">
        <f>IFERROR(__xludf.DUMMYFUNCTION("""COMPUTED_VALUE"""),"ニッカ")</f>
        <v>ニッカ</v>
      </c>
      <c r="C58" s="35" t="str">
        <f>IFERROR(__xludf.DUMMYFUNCTION("""COMPUTED_VALUE"""),"ニッカ")</f>
        <v>ニッカ</v>
      </c>
      <c r="D58" s="35"/>
      <c r="E58" s="35" t="str">
        <f>IFERROR(__xludf.DUMMYFUNCTION("""COMPUTED_VALUE"""),"ブレンデッド")</f>
        <v>ブレンデッド</v>
      </c>
      <c r="F58" s="35"/>
      <c r="G58" s="35" t="str">
        <f>IFERROR(__xludf.DUMMYFUNCTION("""COMPUTED_VALUE"""),"余市蒸溜所限定ブレンデッド")</f>
        <v>余市蒸溜所限定ブレンデッド</v>
      </c>
      <c r="H58" s="35" t="str">
        <f>IFERROR(__xludf.DUMMYFUNCTION("""COMPUTED_VALUE"""),"蒸溜所限定")</f>
        <v>蒸溜所限定</v>
      </c>
      <c r="I58" s="35"/>
      <c r="J58" s="35"/>
      <c r="K58" s="35"/>
      <c r="L58" s="35" t="str">
        <f>IFERROR(__xludf.DUMMYFUNCTION("""COMPUTED_VALUE"""),"✓")</f>
        <v>✓</v>
      </c>
      <c r="M58" s="35"/>
      <c r="N58" s="36">
        <f>IFERROR(__xludf.DUMMYFUNCTION("""COMPUTED_VALUE"""),0.4)</f>
        <v>0.4</v>
      </c>
      <c r="O58" s="35"/>
      <c r="P58" s="37">
        <f>IFERROR(__xludf.DUMMYFUNCTION("""COMPUTED_VALUE"""),1500.0)</f>
        <v>1500</v>
      </c>
      <c r="Q58" s="37">
        <f>IFERROR(__xludf.DUMMYFUNCTION("""COMPUTED_VALUE"""),850.0)</f>
        <v>850</v>
      </c>
      <c r="R58" s="37"/>
      <c r="S58" s="38">
        <f>IFERROR(__xludf.DUMMYFUNCTION("""COMPUTED_VALUE"""),45610.0)</f>
        <v>45610</v>
      </c>
      <c r="T58" s="35"/>
      <c r="U58" s="35"/>
    </row>
    <row r="59" ht="15.75" customHeight="1">
      <c r="A59" s="35" t="str">
        <f>IFERROR(__xludf.DUMMYFUNCTION("""COMPUTED_VALUE"""),"JP")</f>
        <v>JP</v>
      </c>
      <c r="B59" s="35" t="str">
        <f>IFERROR(__xludf.DUMMYFUNCTION("""COMPUTED_VALUE"""),"ニッカ")</f>
        <v>ニッカ</v>
      </c>
      <c r="C59" s="35" t="str">
        <f>IFERROR(__xludf.DUMMYFUNCTION("""COMPUTED_VALUE"""),"ニッカ")</f>
        <v>ニッカ</v>
      </c>
      <c r="D59" s="35"/>
      <c r="E59" s="35" t="str">
        <f>IFERROR(__xludf.DUMMYFUNCTION("""COMPUTED_VALUE"""),"ブレンデッド")</f>
        <v>ブレンデッド</v>
      </c>
      <c r="F59" s="35"/>
      <c r="G59" s="35" t="str">
        <f>IFERROR(__xludf.DUMMYFUNCTION("""COMPUTED_VALUE"""),"宮城峡蒸溜所限定ブレンデッド")</f>
        <v>宮城峡蒸溜所限定ブレンデッド</v>
      </c>
      <c r="H59" s="35" t="str">
        <f>IFERROR(__xludf.DUMMYFUNCTION("""COMPUTED_VALUE"""),"蒸溜所限定")</f>
        <v>蒸溜所限定</v>
      </c>
      <c r="I59" s="35"/>
      <c r="J59" s="35"/>
      <c r="K59" s="35"/>
      <c r="L59" s="35" t="str">
        <f>IFERROR(__xludf.DUMMYFUNCTION("""COMPUTED_VALUE"""),"✓")</f>
        <v>✓</v>
      </c>
      <c r="M59" s="35"/>
      <c r="N59" s="36">
        <f>IFERROR(__xludf.DUMMYFUNCTION("""COMPUTED_VALUE"""),0.4)</f>
        <v>0.4</v>
      </c>
      <c r="O59" s="35"/>
      <c r="P59" s="37">
        <f>IFERROR(__xludf.DUMMYFUNCTION("""COMPUTED_VALUE"""),1500.0)</f>
        <v>1500</v>
      </c>
      <c r="Q59" s="37">
        <f>IFERROR(__xludf.DUMMYFUNCTION("""COMPUTED_VALUE"""),850.0)</f>
        <v>850</v>
      </c>
      <c r="R59" s="37"/>
      <c r="S59" s="38"/>
      <c r="T59" s="35"/>
      <c r="U59" s="35"/>
    </row>
    <row r="60" ht="15.75" customHeight="1">
      <c r="A60" s="35" t="str">
        <f>IFERROR(__xludf.DUMMYFUNCTION("""COMPUTED_VALUE"""),"JP")</f>
        <v>JP</v>
      </c>
      <c r="B60" s="35" t="str">
        <f>IFERROR(__xludf.DUMMYFUNCTION("""COMPUTED_VALUE"""),"ニッカ")</f>
        <v>ニッカ</v>
      </c>
      <c r="C60" s="35" t="str">
        <f>IFERROR(__xludf.DUMMYFUNCTION("""COMPUTED_VALUE"""),"ニッカ")</f>
        <v>ニッカ</v>
      </c>
      <c r="D60" s="35"/>
      <c r="E60" s="35" t="str">
        <f>IFERROR(__xludf.DUMMYFUNCTION("""COMPUTED_VALUE"""),"ブレンデッド")</f>
        <v>ブレンデッド</v>
      </c>
      <c r="F60" s="35"/>
      <c r="G60" s="35" t="str">
        <f>IFERROR(__xludf.DUMMYFUNCTION("""COMPUTED_VALUE"""),"スーパーセッション")</f>
        <v>スーパーセッション</v>
      </c>
      <c r="H60" s="35"/>
      <c r="I60" s="35"/>
      <c r="J60" s="35"/>
      <c r="K60" s="35"/>
      <c r="L60" s="35"/>
      <c r="M60" s="35"/>
      <c r="N60" s="36">
        <f>IFERROR(__xludf.DUMMYFUNCTION("""COMPUTED_VALUE"""),0.43)</f>
        <v>0.43</v>
      </c>
      <c r="O60" s="35"/>
      <c r="P60" s="37">
        <f>IFERROR(__xludf.DUMMYFUNCTION("""COMPUTED_VALUE"""),1300.0)</f>
        <v>1300</v>
      </c>
      <c r="Q60" s="37">
        <f>IFERROR(__xludf.DUMMYFUNCTION("""COMPUTED_VALUE"""),750.0)</f>
        <v>750</v>
      </c>
      <c r="R60" s="37"/>
      <c r="S60" s="38"/>
      <c r="T60" s="35"/>
      <c r="U60" s="35"/>
    </row>
    <row r="61" ht="15.75" customHeight="1">
      <c r="A61" s="35" t="str">
        <f>IFERROR(__xludf.DUMMYFUNCTION("""COMPUTED_VALUE"""),"JP")</f>
        <v>JP</v>
      </c>
      <c r="B61" s="35" t="str">
        <f>IFERROR(__xludf.DUMMYFUNCTION("""COMPUTED_VALUE"""),"ニッカ")</f>
        <v>ニッカ</v>
      </c>
      <c r="C61" s="35" t="str">
        <f>IFERROR(__xludf.DUMMYFUNCTION("""COMPUTED_VALUE"""),"ニッカ")</f>
        <v>ニッカ</v>
      </c>
      <c r="D61" s="35"/>
      <c r="E61" s="35" t="str">
        <f>IFERROR(__xludf.DUMMYFUNCTION("""COMPUTED_VALUE"""),"ブレンデッド")</f>
        <v>ブレンデッド</v>
      </c>
      <c r="F61" s="35"/>
      <c r="G61" s="35" t="str">
        <f>IFERROR(__xludf.DUMMYFUNCTION("""COMPUTED_VALUE"""),"スーパーニッカ")</f>
        <v>スーパーニッカ</v>
      </c>
      <c r="H61" s="35"/>
      <c r="I61" s="35"/>
      <c r="J61" s="35"/>
      <c r="K61" s="35"/>
      <c r="L61" s="35" t="str">
        <f>IFERROR(__xludf.DUMMYFUNCTION("""COMPUTED_VALUE"""),"✓")</f>
        <v>✓</v>
      </c>
      <c r="M61" s="35"/>
      <c r="N61" s="36">
        <f>IFERROR(__xludf.DUMMYFUNCTION("""COMPUTED_VALUE"""),0.43)</f>
        <v>0.43</v>
      </c>
      <c r="O61" s="35"/>
      <c r="P61" s="37">
        <f>IFERROR(__xludf.DUMMYFUNCTION("""COMPUTED_VALUE"""),1000.0)</f>
        <v>1000</v>
      </c>
      <c r="Q61" s="37">
        <f>IFERROR(__xludf.DUMMYFUNCTION("""COMPUTED_VALUE"""),600.0)</f>
        <v>600</v>
      </c>
      <c r="R61" s="37"/>
      <c r="S61" s="38"/>
      <c r="T61" s="35"/>
      <c r="U61" s="35"/>
    </row>
    <row r="62" ht="15.75" customHeight="1">
      <c r="A62" s="35" t="str">
        <f>IFERROR(__xludf.DUMMYFUNCTION("""COMPUTED_VALUE"""),"JP")</f>
        <v>JP</v>
      </c>
      <c r="B62" s="35" t="str">
        <f>IFERROR(__xludf.DUMMYFUNCTION("""COMPUTED_VALUE"""),"ニッカ")</f>
        <v>ニッカ</v>
      </c>
      <c r="C62" s="35" t="str">
        <f>IFERROR(__xludf.DUMMYFUNCTION("""COMPUTED_VALUE"""),"ニッカ")</f>
        <v>ニッカ</v>
      </c>
      <c r="D62" s="35"/>
      <c r="E62" s="35" t="str">
        <f>IFERROR(__xludf.DUMMYFUNCTION("""COMPUTED_VALUE"""),"ブレンデッド")</f>
        <v>ブレンデッド</v>
      </c>
      <c r="F62" s="35"/>
      <c r="G62" s="35" t="str">
        <f>IFERROR(__xludf.DUMMYFUNCTION("""COMPUTED_VALUE"""),"スーパーニッカ")</f>
        <v>スーパーニッカ</v>
      </c>
      <c r="H62" s="35"/>
      <c r="I62" s="35"/>
      <c r="J62" s="35"/>
      <c r="K62" s="35"/>
      <c r="L62" s="35"/>
      <c r="M62" s="35"/>
      <c r="N62" s="36">
        <f>IFERROR(__xludf.DUMMYFUNCTION("""COMPUTED_VALUE"""),0.43)</f>
        <v>0.43</v>
      </c>
      <c r="O62" s="35"/>
      <c r="P62" s="37">
        <f>IFERROR(__xludf.DUMMYFUNCTION("""COMPUTED_VALUE"""),1500.0)</f>
        <v>1500</v>
      </c>
      <c r="Q62" s="37">
        <f>IFERROR(__xludf.DUMMYFUNCTION("""COMPUTED_VALUE"""),850.0)</f>
        <v>850</v>
      </c>
      <c r="R62" s="37"/>
      <c r="S62" s="38"/>
      <c r="T62" s="35"/>
      <c r="U62" s="35"/>
    </row>
    <row r="63" ht="15.75" customHeight="1">
      <c r="A63" s="35" t="str">
        <f>IFERROR(__xludf.DUMMYFUNCTION("""COMPUTED_VALUE"""),"JP")</f>
        <v>JP</v>
      </c>
      <c r="B63" s="35" t="str">
        <f>IFERROR(__xludf.DUMMYFUNCTION("""COMPUTED_VALUE"""),"ニッカ")</f>
        <v>ニッカ</v>
      </c>
      <c r="C63" s="35" t="str">
        <f>IFERROR(__xludf.DUMMYFUNCTION("""COMPUTED_VALUE"""),"ニッカ")</f>
        <v>ニッカ</v>
      </c>
      <c r="D63" s="35"/>
      <c r="E63" s="35" t="str">
        <f>IFERROR(__xludf.DUMMYFUNCTION("""COMPUTED_VALUE"""),"ブレンデッド")</f>
        <v>ブレンデッド</v>
      </c>
      <c r="F63" s="35"/>
      <c r="G63" s="35" t="str">
        <f>IFERROR(__xludf.DUMMYFUNCTION("""COMPUTED_VALUE"""),"フロムザバレル")</f>
        <v>フロムザバレル</v>
      </c>
      <c r="H63" s="35"/>
      <c r="I63" s="35"/>
      <c r="J63" s="35"/>
      <c r="K63" s="35"/>
      <c r="L63" s="35" t="str">
        <f>IFERROR(__xludf.DUMMYFUNCTION("""COMPUTED_VALUE"""),"✓")</f>
        <v>✓</v>
      </c>
      <c r="M63" s="35"/>
      <c r="N63" s="36">
        <f>IFERROR(__xludf.DUMMYFUNCTION("""COMPUTED_VALUE"""),0.51)</f>
        <v>0.51</v>
      </c>
      <c r="O63" s="35"/>
      <c r="P63" s="37">
        <f>IFERROR(__xludf.DUMMYFUNCTION("""COMPUTED_VALUE"""),1100.0)</f>
        <v>1100</v>
      </c>
      <c r="Q63" s="37">
        <f>IFERROR(__xludf.DUMMYFUNCTION("""COMPUTED_VALUE"""),650.0)</f>
        <v>650</v>
      </c>
      <c r="R63" s="37"/>
      <c r="S63" s="38">
        <f>IFERROR(__xludf.DUMMYFUNCTION("""COMPUTED_VALUE"""),45772.0)</f>
        <v>45772</v>
      </c>
      <c r="T63" s="35"/>
      <c r="U63" s="35"/>
    </row>
    <row r="64" ht="15.75" customHeight="1">
      <c r="A64" s="35" t="str">
        <f>IFERROR(__xludf.DUMMYFUNCTION("""COMPUTED_VALUE"""),"JP")</f>
        <v>JP</v>
      </c>
      <c r="B64" s="35" t="str">
        <f>IFERROR(__xludf.DUMMYFUNCTION("""COMPUTED_VALUE"""),"ニッカ")</f>
        <v>ニッカ</v>
      </c>
      <c r="C64" s="35" t="str">
        <f>IFERROR(__xludf.DUMMYFUNCTION("""COMPUTED_VALUE"""),"ニッカ")</f>
        <v>ニッカ</v>
      </c>
      <c r="D64" s="35"/>
      <c r="E64" s="35" t="str">
        <f>IFERROR(__xludf.DUMMYFUNCTION("""COMPUTED_VALUE"""),"ブレンデッド")</f>
        <v>ブレンデッド</v>
      </c>
      <c r="F64" s="35"/>
      <c r="G64" s="35" t="str">
        <f>IFERROR(__xludf.DUMMYFUNCTION("""COMPUTED_VALUE"""),"フロンティア")</f>
        <v>フロンティア</v>
      </c>
      <c r="H64" s="35"/>
      <c r="I64" s="35"/>
      <c r="J64" s="35"/>
      <c r="K64" s="35"/>
      <c r="L64" s="35" t="str">
        <f>IFERROR(__xludf.DUMMYFUNCTION("""COMPUTED_VALUE"""),"✓")</f>
        <v>✓</v>
      </c>
      <c r="M64" s="35"/>
      <c r="N64" s="36">
        <f>IFERROR(__xludf.DUMMYFUNCTION("""COMPUTED_VALUE"""),0.48)</f>
        <v>0.48</v>
      </c>
      <c r="O64" s="35"/>
      <c r="P64" s="37">
        <f>IFERROR(__xludf.DUMMYFUNCTION("""COMPUTED_VALUE"""),900.0)</f>
        <v>900</v>
      </c>
      <c r="Q64" s="37">
        <f>IFERROR(__xludf.DUMMYFUNCTION("""COMPUTED_VALUE"""),550.0)</f>
        <v>550</v>
      </c>
      <c r="R64" s="37"/>
      <c r="S64" s="38">
        <f>IFERROR(__xludf.DUMMYFUNCTION("""COMPUTED_VALUE"""),45563.0)</f>
        <v>45563</v>
      </c>
      <c r="T64" s="35"/>
      <c r="U64" s="35"/>
    </row>
    <row r="65" ht="15.75" customHeight="1">
      <c r="A65" s="35" t="str">
        <f>IFERROR(__xludf.DUMMYFUNCTION("""COMPUTED_VALUE"""),"JP")</f>
        <v>JP</v>
      </c>
      <c r="B65" s="35" t="str">
        <f>IFERROR(__xludf.DUMMYFUNCTION("""COMPUTED_VALUE"""),"ニッカ")</f>
        <v>ニッカ</v>
      </c>
      <c r="C65" s="35" t="str">
        <f>IFERROR(__xludf.DUMMYFUNCTION("""COMPUTED_VALUE"""),"ニッカ")</f>
        <v>ニッカ</v>
      </c>
      <c r="D65" s="35"/>
      <c r="E65" s="35" t="str">
        <f>IFERROR(__xludf.DUMMYFUNCTION("""COMPUTED_VALUE"""),"ブレンデッド")</f>
        <v>ブレンデッド</v>
      </c>
      <c r="F65" s="35"/>
      <c r="G65" s="35" t="str">
        <f>IFERROR(__xludf.DUMMYFUNCTION("""COMPUTED_VALUE"""),"ブラックニッカ スペシャル")</f>
        <v>ブラックニッカ スペシャル</v>
      </c>
      <c r="H65" s="35"/>
      <c r="I65" s="35"/>
      <c r="J65" s="35"/>
      <c r="K65" s="35"/>
      <c r="L65" s="35" t="str">
        <f>IFERROR(__xludf.DUMMYFUNCTION("""COMPUTED_VALUE"""),"✓")</f>
        <v>✓</v>
      </c>
      <c r="M65" s="35"/>
      <c r="N65" s="36">
        <f>IFERROR(__xludf.DUMMYFUNCTION("""COMPUTED_VALUE"""),0.42)</f>
        <v>0.42</v>
      </c>
      <c r="O65" s="35"/>
      <c r="P65" s="37">
        <f>IFERROR(__xludf.DUMMYFUNCTION("""COMPUTED_VALUE"""),900.0)</f>
        <v>900</v>
      </c>
      <c r="Q65" s="37">
        <f>IFERROR(__xludf.DUMMYFUNCTION("""COMPUTED_VALUE"""),550.0)</f>
        <v>550</v>
      </c>
      <c r="R65" s="37"/>
      <c r="S65" s="38">
        <f>IFERROR(__xludf.DUMMYFUNCTION("""COMPUTED_VALUE"""),45480.0)</f>
        <v>45480</v>
      </c>
      <c r="T65" s="35"/>
      <c r="U65" s="35"/>
    </row>
    <row r="66" ht="15.75" customHeight="1">
      <c r="A66" s="35" t="str">
        <f>IFERROR(__xludf.DUMMYFUNCTION("""COMPUTED_VALUE"""),"JP")</f>
        <v>JP</v>
      </c>
      <c r="B66" s="35" t="str">
        <f>IFERROR(__xludf.DUMMYFUNCTION("""COMPUTED_VALUE"""),"ニッカ")</f>
        <v>ニッカ</v>
      </c>
      <c r="C66" s="35" t="str">
        <f>IFERROR(__xludf.DUMMYFUNCTION("""COMPUTED_VALUE"""),"ニッカ")</f>
        <v>ニッカ</v>
      </c>
      <c r="D66" s="35"/>
      <c r="E66" s="35" t="str">
        <f>IFERROR(__xludf.DUMMYFUNCTION("""COMPUTED_VALUE"""),"ブレンデッド")</f>
        <v>ブレンデッド</v>
      </c>
      <c r="F66" s="35"/>
      <c r="G66" s="35" t="str">
        <f>IFERROR(__xludf.DUMMYFUNCTION("""COMPUTED_VALUE"""),"ブラックニッカ ディープブレンド")</f>
        <v>ブラックニッカ ディープブレンド</v>
      </c>
      <c r="H66" s="35"/>
      <c r="I66" s="35"/>
      <c r="J66" s="35"/>
      <c r="K66" s="35"/>
      <c r="L66" s="35" t="str">
        <f>IFERROR(__xludf.DUMMYFUNCTION("""COMPUTED_VALUE"""),"✓")</f>
        <v>✓</v>
      </c>
      <c r="M66" s="35"/>
      <c r="N66" s="36">
        <f>IFERROR(__xludf.DUMMYFUNCTION("""COMPUTED_VALUE"""),0.45)</f>
        <v>0.45</v>
      </c>
      <c r="O66" s="35"/>
      <c r="P66" s="37">
        <f>IFERROR(__xludf.DUMMYFUNCTION("""COMPUTED_VALUE"""),900.0)</f>
        <v>900</v>
      </c>
      <c r="Q66" s="37">
        <f>IFERROR(__xludf.DUMMYFUNCTION("""COMPUTED_VALUE"""),550.0)</f>
        <v>550</v>
      </c>
      <c r="R66" s="37"/>
      <c r="S66" s="38">
        <f>IFERROR(__xludf.DUMMYFUNCTION("""COMPUTED_VALUE"""),45482.0)</f>
        <v>45482</v>
      </c>
      <c r="T66" s="35"/>
      <c r="U66" s="35"/>
    </row>
    <row r="67" ht="15.75" customHeight="1">
      <c r="A67" s="35" t="str">
        <f>IFERROR(__xludf.DUMMYFUNCTION("""COMPUTED_VALUE"""),"JP")</f>
        <v>JP</v>
      </c>
      <c r="B67" s="35" t="str">
        <f>IFERROR(__xludf.DUMMYFUNCTION("""COMPUTED_VALUE"""),"ニッカ")</f>
        <v>ニッカ</v>
      </c>
      <c r="C67" s="35" t="str">
        <f>IFERROR(__xludf.DUMMYFUNCTION("""COMPUTED_VALUE"""),"ニッカ")</f>
        <v>ニッカ</v>
      </c>
      <c r="D67" s="35"/>
      <c r="E67" s="35" t="str">
        <f>IFERROR(__xludf.DUMMYFUNCTION("""COMPUTED_VALUE"""),"ブレンデッド")</f>
        <v>ブレンデッド</v>
      </c>
      <c r="F67" s="35"/>
      <c r="G67" s="35" t="str">
        <f>IFERROR(__xludf.DUMMYFUNCTION("""COMPUTED_VALUE"""),"ブラックニッカ ディープブレンド エクストラスイート")</f>
        <v>ブラックニッカ ディープブレンド エクストラスイート</v>
      </c>
      <c r="H67" s="35"/>
      <c r="I67" s="35"/>
      <c r="J67" s="35"/>
      <c r="K67" s="35"/>
      <c r="L67" s="35"/>
      <c r="M67" s="35"/>
      <c r="N67" s="36">
        <f>IFERROR(__xludf.DUMMYFUNCTION("""COMPUTED_VALUE"""),0.46)</f>
        <v>0.46</v>
      </c>
      <c r="O67" s="35"/>
      <c r="P67" s="37">
        <f>IFERROR(__xludf.DUMMYFUNCTION("""COMPUTED_VALUE"""),1400.0)</f>
        <v>1400</v>
      </c>
      <c r="Q67" s="37">
        <f>IFERROR(__xludf.DUMMYFUNCTION("""COMPUTED_VALUE"""),800.0)</f>
        <v>800</v>
      </c>
      <c r="R67" s="37"/>
      <c r="S67" s="38">
        <f>IFERROR(__xludf.DUMMYFUNCTION("""COMPUTED_VALUE"""),45529.0)</f>
        <v>45529</v>
      </c>
      <c r="T67" s="35"/>
      <c r="U67" s="35"/>
    </row>
    <row r="68" ht="15.75" customHeight="1">
      <c r="A68" s="35" t="str">
        <f>IFERROR(__xludf.DUMMYFUNCTION("""COMPUTED_VALUE"""),"JP")</f>
        <v>JP</v>
      </c>
      <c r="B68" s="35" t="str">
        <f>IFERROR(__xludf.DUMMYFUNCTION("""COMPUTED_VALUE"""),"ニッカ")</f>
        <v>ニッカ</v>
      </c>
      <c r="C68" s="35" t="str">
        <f>IFERROR(__xludf.DUMMYFUNCTION("""COMPUTED_VALUE"""),"ニッカ")</f>
        <v>ニッカ</v>
      </c>
      <c r="D68" s="35"/>
      <c r="E68" s="35" t="str">
        <f>IFERROR(__xludf.DUMMYFUNCTION("""COMPUTED_VALUE"""),"ブレンデッド")</f>
        <v>ブレンデッド</v>
      </c>
      <c r="F68" s="35"/>
      <c r="G68" s="35" t="str">
        <f>IFERROR(__xludf.DUMMYFUNCTION("""COMPUTED_VALUE"""),"ブラックニッカ ディープブレンド ナイトクルーズ")</f>
        <v>ブラックニッカ ディープブレンド ナイトクルーズ</v>
      </c>
      <c r="H68" s="35"/>
      <c r="I68" s="35"/>
      <c r="J68" s="35"/>
      <c r="K68" s="35"/>
      <c r="L68" s="35"/>
      <c r="M68" s="35"/>
      <c r="N68" s="36">
        <f>IFERROR(__xludf.DUMMYFUNCTION("""COMPUTED_VALUE"""),0.45)</f>
        <v>0.45</v>
      </c>
      <c r="O68" s="35"/>
      <c r="P68" s="37">
        <f>IFERROR(__xludf.DUMMYFUNCTION("""COMPUTED_VALUE"""),1400.0)</f>
        <v>1400</v>
      </c>
      <c r="Q68" s="37">
        <f>IFERROR(__xludf.DUMMYFUNCTION("""COMPUTED_VALUE"""),800.0)</f>
        <v>800</v>
      </c>
      <c r="R68" s="37"/>
      <c r="S68" s="38">
        <f>IFERROR(__xludf.DUMMYFUNCTION("""COMPUTED_VALUE"""),45217.0)</f>
        <v>45217</v>
      </c>
      <c r="T68" s="35"/>
      <c r="U68" s="35"/>
    </row>
    <row r="69" ht="15.75" customHeight="1">
      <c r="A69" s="35" t="str">
        <f>IFERROR(__xludf.DUMMYFUNCTION("""COMPUTED_VALUE"""),"JP")</f>
        <v>JP</v>
      </c>
      <c r="B69" s="35" t="str">
        <f>IFERROR(__xludf.DUMMYFUNCTION("""COMPUTED_VALUE"""),"ニッカ")</f>
        <v>ニッカ</v>
      </c>
      <c r="C69" s="35" t="str">
        <f>IFERROR(__xludf.DUMMYFUNCTION("""COMPUTED_VALUE"""),"ニッカ")</f>
        <v>ニッカ</v>
      </c>
      <c r="D69" s="35"/>
      <c r="E69" s="35" t="str">
        <f>IFERROR(__xludf.DUMMYFUNCTION("""COMPUTED_VALUE"""),"ブレンデッド")</f>
        <v>ブレンデッド</v>
      </c>
      <c r="F69" s="35"/>
      <c r="G69" s="35" t="str">
        <f>IFERROR(__xludf.DUMMYFUNCTION("""COMPUTED_VALUE"""),"ブラックニッカ ブレンダーズスピリット")</f>
        <v>ブラックニッカ ブレンダーズスピリット</v>
      </c>
      <c r="H69" s="35"/>
      <c r="I69" s="35"/>
      <c r="J69" s="35"/>
      <c r="K69" s="35"/>
      <c r="L69" s="35"/>
      <c r="M69" s="35"/>
      <c r="N69" s="36">
        <f>IFERROR(__xludf.DUMMYFUNCTION("""COMPUTED_VALUE"""),0.43)</f>
        <v>0.43</v>
      </c>
      <c r="O69" s="35"/>
      <c r="P69" s="37">
        <f>IFERROR(__xludf.DUMMYFUNCTION("""COMPUTED_VALUE"""),1400.0)</f>
        <v>1400</v>
      </c>
      <c r="Q69" s="37">
        <f>IFERROR(__xludf.DUMMYFUNCTION("""COMPUTED_VALUE"""),800.0)</f>
        <v>800</v>
      </c>
      <c r="R69" s="37"/>
      <c r="S69" s="38">
        <f>IFERROR(__xludf.DUMMYFUNCTION("""COMPUTED_VALUE"""),45488.0)</f>
        <v>45488</v>
      </c>
      <c r="T69" s="35"/>
      <c r="U69" s="35"/>
    </row>
    <row r="70" ht="15.75" customHeight="1">
      <c r="A70" s="35" t="str">
        <f>IFERROR(__xludf.DUMMYFUNCTION("""COMPUTED_VALUE"""),"JP")</f>
        <v>JP</v>
      </c>
      <c r="B70" s="35" t="str">
        <f>IFERROR(__xludf.DUMMYFUNCTION("""COMPUTED_VALUE"""),"ニッカ")</f>
        <v>ニッカ</v>
      </c>
      <c r="C70" s="35" t="str">
        <f>IFERROR(__xludf.DUMMYFUNCTION("""COMPUTED_VALUE"""),"ニッカ")</f>
        <v>ニッカ</v>
      </c>
      <c r="D70" s="35"/>
      <c r="E70" s="35" t="str">
        <f>IFERROR(__xludf.DUMMYFUNCTION("""COMPUTED_VALUE"""),"ブレンデッド")</f>
        <v>ブレンデッド</v>
      </c>
      <c r="F70" s="35"/>
      <c r="G70" s="35" t="str">
        <f>IFERROR(__xludf.DUMMYFUNCTION("""COMPUTED_VALUE"""),"ブラックニッカ リッチブレンド")</f>
        <v>ブラックニッカ リッチブレンド</v>
      </c>
      <c r="H70" s="35"/>
      <c r="I70" s="35"/>
      <c r="J70" s="35"/>
      <c r="K70" s="35"/>
      <c r="L70" s="35" t="str">
        <f>IFERROR(__xludf.DUMMYFUNCTION("""COMPUTED_VALUE"""),"✓")</f>
        <v>✓</v>
      </c>
      <c r="M70" s="35"/>
      <c r="N70" s="36">
        <f>IFERROR(__xludf.DUMMYFUNCTION("""COMPUTED_VALUE"""),0.4)</f>
        <v>0.4</v>
      </c>
      <c r="O70" s="35"/>
      <c r="P70" s="37">
        <f>IFERROR(__xludf.DUMMYFUNCTION("""COMPUTED_VALUE"""),900.0)</f>
        <v>900</v>
      </c>
      <c r="Q70" s="37">
        <f>IFERROR(__xludf.DUMMYFUNCTION("""COMPUTED_VALUE"""),550.0)</f>
        <v>550</v>
      </c>
      <c r="R70" s="37"/>
      <c r="S70" s="38">
        <f>IFERROR(__xludf.DUMMYFUNCTION("""COMPUTED_VALUE"""),45483.0)</f>
        <v>45483</v>
      </c>
      <c r="T70" s="35"/>
      <c r="U70" s="35"/>
    </row>
    <row r="71" ht="15.75" customHeight="1">
      <c r="A71" s="35" t="str">
        <f>IFERROR(__xludf.DUMMYFUNCTION("""COMPUTED_VALUE"""),"JP")</f>
        <v>JP</v>
      </c>
      <c r="B71" s="35" t="str">
        <f>IFERROR(__xludf.DUMMYFUNCTION("""COMPUTED_VALUE"""),"ニッカ")</f>
        <v>ニッカ</v>
      </c>
      <c r="C71" s="35" t="str">
        <f>IFERROR(__xludf.DUMMYFUNCTION("""COMPUTED_VALUE"""),"ニッカ")</f>
        <v>ニッカ</v>
      </c>
      <c r="D71" s="35"/>
      <c r="E71" s="35" t="str">
        <f>IFERROR(__xludf.DUMMYFUNCTION("""COMPUTED_VALUE"""),"ブレンデッド")</f>
        <v>ブレンデッド</v>
      </c>
      <c r="F71" s="35"/>
      <c r="G71" s="35" t="str">
        <f>IFERROR(__xludf.DUMMYFUNCTION("""COMPUTED_VALUE"""),"ブラックニッカ リッチブレンド エクストラシェリー")</f>
        <v>ブラックニッカ リッチブレンド エクストラシェリー</v>
      </c>
      <c r="H71" s="35"/>
      <c r="I71" s="35"/>
      <c r="J71" s="35"/>
      <c r="K71" s="35"/>
      <c r="L71" s="35"/>
      <c r="M71" s="35"/>
      <c r="N71" s="36">
        <f>IFERROR(__xludf.DUMMYFUNCTION("""COMPUTED_VALUE"""),0.43)</f>
        <v>0.43</v>
      </c>
      <c r="O71" s="35"/>
      <c r="P71" s="37">
        <f>IFERROR(__xludf.DUMMYFUNCTION("""COMPUTED_VALUE"""),1400.0)</f>
        <v>1400</v>
      </c>
      <c r="Q71" s="37">
        <f>IFERROR(__xludf.DUMMYFUNCTION("""COMPUTED_VALUE"""),800.0)</f>
        <v>800</v>
      </c>
      <c r="R71" s="37"/>
      <c r="S71" s="38"/>
      <c r="T71" s="35"/>
      <c r="U71" s="35"/>
    </row>
    <row r="72" ht="15.75" customHeight="1">
      <c r="A72" s="35" t="str">
        <f>IFERROR(__xludf.DUMMYFUNCTION("""COMPUTED_VALUE"""),"JP")</f>
        <v>JP</v>
      </c>
      <c r="B72" s="35" t="str">
        <f>IFERROR(__xludf.DUMMYFUNCTION("""COMPUTED_VALUE"""),"ニッカ")</f>
        <v>ニッカ</v>
      </c>
      <c r="C72" s="35" t="str">
        <f>IFERROR(__xludf.DUMMYFUNCTION("""COMPUTED_VALUE"""),"ニッカ")</f>
        <v>ニッカ</v>
      </c>
      <c r="D72" s="35"/>
      <c r="E72" s="35" t="str">
        <f>IFERROR(__xludf.DUMMYFUNCTION("""COMPUTED_VALUE"""),"ブレンデッド")</f>
        <v>ブレンデッド</v>
      </c>
      <c r="F72" s="35"/>
      <c r="G72" s="35" t="str">
        <f>IFERROR(__xludf.DUMMYFUNCTION("""COMPUTED_VALUE"""),"ブラックニッカ リッチブレンド コンフォートアロマ")</f>
        <v>ブラックニッカ リッチブレンド コンフォートアロマ</v>
      </c>
      <c r="H72" s="35"/>
      <c r="I72" s="35"/>
      <c r="J72" s="35"/>
      <c r="K72" s="35"/>
      <c r="L72" s="35"/>
      <c r="M72" s="35"/>
      <c r="N72" s="36">
        <f>IFERROR(__xludf.DUMMYFUNCTION("""COMPUTED_VALUE"""),0.43)</f>
        <v>0.43</v>
      </c>
      <c r="O72" s="35"/>
      <c r="P72" s="37">
        <f>IFERROR(__xludf.DUMMYFUNCTION("""COMPUTED_VALUE"""),1400.0)</f>
        <v>1400</v>
      </c>
      <c r="Q72" s="37">
        <f>IFERROR(__xludf.DUMMYFUNCTION("""COMPUTED_VALUE"""),800.0)</f>
        <v>800</v>
      </c>
      <c r="R72" s="37"/>
      <c r="S72" s="38"/>
      <c r="T72" s="35"/>
      <c r="U72" s="35"/>
    </row>
    <row r="73" ht="15.75" customHeight="1">
      <c r="A73" s="35" t="str">
        <f>IFERROR(__xludf.DUMMYFUNCTION("""COMPUTED_VALUE"""),"JP")</f>
        <v>JP</v>
      </c>
      <c r="B73" s="35" t="str">
        <f>IFERROR(__xludf.DUMMYFUNCTION("""COMPUTED_VALUE"""),"ニッカ")</f>
        <v>ニッカ</v>
      </c>
      <c r="C73" s="35" t="str">
        <f>IFERROR(__xludf.DUMMYFUNCTION("""COMPUTED_VALUE"""),"ニッカ")</f>
        <v>ニッカ</v>
      </c>
      <c r="D73" s="35"/>
      <c r="E73" s="35" t="str">
        <f>IFERROR(__xludf.DUMMYFUNCTION("""COMPUTED_VALUE"""),"ブレンデッド")</f>
        <v>ブレンデッド</v>
      </c>
      <c r="F73" s="35"/>
      <c r="G73" s="35" t="str">
        <f>IFERROR(__xludf.DUMMYFUNCTION("""COMPUTED_VALUE"""),"ブラックニッカ 8年")</f>
        <v>ブラックニッカ 8年</v>
      </c>
      <c r="H73" s="35"/>
      <c r="I73" s="35"/>
      <c r="J73" s="35"/>
      <c r="K73" s="35"/>
      <c r="L73" s="35"/>
      <c r="M73" s="35"/>
      <c r="N73" s="36">
        <f>IFERROR(__xludf.DUMMYFUNCTION("""COMPUTED_VALUE"""),0.4)</f>
        <v>0.4</v>
      </c>
      <c r="O73" s="35"/>
      <c r="P73" s="37">
        <f>IFERROR(__xludf.DUMMYFUNCTION("""COMPUTED_VALUE"""),1600.0)</f>
        <v>1600</v>
      </c>
      <c r="Q73" s="37">
        <f>IFERROR(__xludf.DUMMYFUNCTION("""COMPUTED_VALUE"""),900.0)</f>
        <v>900</v>
      </c>
      <c r="R73" s="37"/>
      <c r="S73" s="38"/>
      <c r="T73" s="35"/>
      <c r="U73" s="35"/>
    </row>
    <row r="74" ht="15.75" customHeight="1">
      <c r="A74" s="35" t="str">
        <f>IFERROR(__xludf.DUMMYFUNCTION("""COMPUTED_VALUE"""),"JP")</f>
        <v>JP</v>
      </c>
      <c r="B74" s="35" t="str">
        <f>IFERROR(__xludf.DUMMYFUNCTION("""COMPUTED_VALUE"""),"ニッカ")</f>
        <v>ニッカ</v>
      </c>
      <c r="C74" s="35" t="str">
        <f>IFERROR(__xludf.DUMMYFUNCTION("""COMPUTED_VALUE"""),"ニッカ")</f>
        <v>ニッカ</v>
      </c>
      <c r="D74" s="35"/>
      <c r="E74" s="35" t="str">
        <f>IFERROR(__xludf.DUMMYFUNCTION("""COMPUTED_VALUE"""),"ブレンデッド")</f>
        <v>ブレンデッド</v>
      </c>
      <c r="F74" s="35"/>
      <c r="G74" s="35" t="str">
        <f>IFERROR(__xludf.DUMMYFUNCTION("""COMPUTED_VALUE"""),"ブラックニッカ アロマティック")</f>
        <v>ブラックニッカ アロマティック</v>
      </c>
      <c r="H74" s="35"/>
      <c r="I74" s="35"/>
      <c r="J74" s="35"/>
      <c r="K74" s="35"/>
      <c r="L74" s="35"/>
      <c r="M74" s="35"/>
      <c r="N74" s="36">
        <f>IFERROR(__xludf.DUMMYFUNCTION("""COMPUTED_VALUE"""),0.4)</f>
        <v>0.4</v>
      </c>
      <c r="O74" s="35"/>
      <c r="P74" s="37">
        <f>IFERROR(__xludf.DUMMYFUNCTION("""COMPUTED_VALUE"""),1500.0)</f>
        <v>1500</v>
      </c>
      <c r="Q74" s="37">
        <f>IFERROR(__xludf.DUMMYFUNCTION("""COMPUTED_VALUE"""),850.0)</f>
        <v>850</v>
      </c>
      <c r="R74" s="37"/>
      <c r="S74" s="38">
        <f>IFERROR(__xludf.DUMMYFUNCTION("""COMPUTED_VALUE"""),45489.0)</f>
        <v>45489</v>
      </c>
      <c r="T74" s="35"/>
      <c r="U74" s="35"/>
    </row>
    <row r="75" ht="15.75" customHeight="1">
      <c r="A75" s="35" t="str">
        <f>IFERROR(__xludf.DUMMYFUNCTION("""COMPUTED_VALUE"""),"JP")</f>
        <v>JP</v>
      </c>
      <c r="B75" s="35" t="str">
        <f>IFERROR(__xludf.DUMMYFUNCTION("""COMPUTED_VALUE"""),"ニッカ")</f>
        <v>ニッカ</v>
      </c>
      <c r="C75" s="35" t="str">
        <f>IFERROR(__xludf.DUMMYFUNCTION("""COMPUTED_VALUE"""),"ニッカ")</f>
        <v>ニッカ</v>
      </c>
      <c r="D75" s="35"/>
      <c r="E75" s="35" t="str">
        <f>IFERROR(__xludf.DUMMYFUNCTION("""COMPUTED_VALUE"""),"ブレンデッド")</f>
        <v>ブレンデッド</v>
      </c>
      <c r="F75" s="35"/>
      <c r="G75" s="35" t="str">
        <f>IFERROR(__xludf.DUMMYFUNCTION("""COMPUTED_VALUE"""),"ブラックニッカ クロスオーバー")</f>
        <v>ブラックニッカ クロスオーバー</v>
      </c>
      <c r="H75" s="35"/>
      <c r="I75" s="35"/>
      <c r="J75" s="35"/>
      <c r="K75" s="35"/>
      <c r="L75" s="35"/>
      <c r="M75" s="35"/>
      <c r="N75" s="36">
        <f>IFERROR(__xludf.DUMMYFUNCTION("""COMPUTED_VALUE"""),0.43)</f>
        <v>0.43</v>
      </c>
      <c r="O75" s="35"/>
      <c r="P75" s="37">
        <f>IFERROR(__xludf.DUMMYFUNCTION("""COMPUTED_VALUE"""),1500.0)</f>
        <v>1500</v>
      </c>
      <c r="Q75" s="37">
        <f>IFERROR(__xludf.DUMMYFUNCTION("""COMPUTED_VALUE"""),850.0)</f>
        <v>850</v>
      </c>
      <c r="R75" s="37"/>
      <c r="S75" s="38">
        <f>IFERROR(__xludf.DUMMYFUNCTION("""COMPUTED_VALUE"""),45490.0)</f>
        <v>45490</v>
      </c>
      <c r="T75" s="35"/>
      <c r="U75" s="35"/>
    </row>
    <row r="76" ht="15.75" customHeight="1">
      <c r="A76" s="35" t="str">
        <f>IFERROR(__xludf.DUMMYFUNCTION("""COMPUTED_VALUE"""),"JP")</f>
        <v>JP</v>
      </c>
      <c r="B76" s="35" t="str">
        <f>IFERROR(__xludf.DUMMYFUNCTION("""COMPUTED_VALUE"""),"ニッカ")</f>
        <v>ニッカ</v>
      </c>
      <c r="C76" s="35" t="str">
        <f>IFERROR(__xludf.DUMMYFUNCTION("""COMPUTED_VALUE"""),"ニッカ")</f>
        <v>ニッカ</v>
      </c>
      <c r="D76" s="35"/>
      <c r="E76" s="35" t="str">
        <f>IFERROR(__xludf.DUMMYFUNCTION("""COMPUTED_VALUE"""),"ブレンデッド")</f>
        <v>ブレンデッド</v>
      </c>
      <c r="F76" s="35"/>
      <c r="G76" s="35" t="str">
        <f>IFERROR(__xludf.DUMMYFUNCTION("""COMPUTED_VALUE"""),"初号ブラックニッカ復刻版")</f>
        <v>初号ブラックニッカ復刻版</v>
      </c>
      <c r="H76" s="35"/>
      <c r="I76" s="35"/>
      <c r="J76" s="35"/>
      <c r="K76" s="35"/>
      <c r="L76" s="35"/>
      <c r="M76" s="35"/>
      <c r="N76" s="36">
        <f>IFERROR(__xludf.DUMMYFUNCTION("""COMPUTED_VALUE"""),0.43)</f>
        <v>0.43</v>
      </c>
      <c r="O76" s="35"/>
      <c r="P76" s="37">
        <f>IFERROR(__xludf.DUMMYFUNCTION("""COMPUTED_VALUE"""),1400.0)</f>
        <v>1400</v>
      </c>
      <c r="Q76" s="37">
        <f>IFERROR(__xludf.DUMMYFUNCTION("""COMPUTED_VALUE"""),800.0)</f>
        <v>800</v>
      </c>
      <c r="R76" s="37"/>
      <c r="S76" s="38"/>
      <c r="T76" s="35"/>
      <c r="U76" s="35"/>
    </row>
    <row r="77" ht="15.75" customHeight="1">
      <c r="A77" s="35" t="str">
        <f>IFERROR(__xludf.DUMMYFUNCTION("""COMPUTED_VALUE"""),"JP")</f>
        <v>JP</v>
      </c>
      <c r="B77" s="35" t="str">
        <f>IFERROR(__xludf.DUMMYFUNCTION("""COMPUTED_VALUE"""),"ニッカ")</f>
        <v>ニッカ</v>
      </c>
      <c r="C77" s="35" t="str">
        <f>IFERROR(__xludf.DUMMYFUNCTION("""COMPUTED_VALUE"""),"ニッカ")</f>
        <v>ニッカ</v>
      </c>
      <c r="D77" s="35"/>
      <c r="E77" s="35" t="str">
        <f>IFERROR(__xludf.DUMMYFUNCTION("""COMPUTED_VALUE"""),"ブレンデッド")</f>
        <v>ブレンデッド</v>
      </c>
      <c r="F77" s="35"/>
      <c r="G77" s="35" t="str">
        <f>IFERROR(__xludf.DUMMYFUNCTION("""COMPUTED_VALUE"""),"ニューブレンド ブラックニッカ")</f>
        <v>ニューブレンド ブラックニッカ</v>
      </c>
      <c r="H77" s="35" t="str">
        <f>IFERROR(__xludf.DUMMYFUNCTION("""COMPUTED_VALUE"""),"1級酒")</f>
        <v>1級酒</v>
      </c>
      <c r="I77" s="35"/>
      <c r="J77" s="35"/>
      <c r="K77" s="35"/>
      <c r="L77" s="35"/>
      <c r="M77" s="35"/>
      <c r="N77" s="36">
        <f>IFERROR(__xludf.DUMMYFUNCTION("""COMPUTED_VALUE"""),0.4)</f>
        <v>0.4</v>
      </c>
      <c r="O77" s="35"/>
      <c r="P77" s="37">
        <f>IFERROR(__xludf.DUMMYFUNCTION("""COMPUTED_VALUE"""),1100.0)</f>
        <v>1100</v>
      </c>
      <c r="Q77" s="37">
        <f>IFERROR(__xludf.DUMMYFUNCTION("""COMPUTED_VALUE"""),650.0)</f>
        <v>650</v>
      </c>
      <c r="R77" s="37"/>
      <c r="S77" s="38"/>
      <c r="T77" s="35"/>
      <c r="U77" s="35"/>
    </row>
    <row r="78" ht="15.75" customHeight="1">
      <c r="A78" s="35" t="str">
        <f>IFERROR(__xludf.DUMMYFUNCTION("""COMPUTED_VALUE"""),"JP")</f>
        <v>JP</v>
      </c>
      <c r="B78" s="35" t="str">
        <f>IFERROR(__xludf.DUMMYFUNCTION("""COMPUTED_VALUE"""),"ニッカ")</f>
        <v>ニッカ</v>
      </c>
      <c r="C78" s="35" t="str">
        <f>IFERROR(__xludf.DUMMYFUNCTION("""COMPUTED_VALUE"""),"ニッカ")</f>
        <v>ニッカ</v>
      </c>
      <c r="D78" s="35"/>
      <c r="E78" s="35" t="str">
        <f>IFERROR(__xludf.DUMMYFUNCTION("""COMPUTED_VALUE"""),"ブレンデッド")</f>
        <v>ブレンデッド</v>
      </c>
      <c r="F78" s="35"/>
      <c r="G78" s="35" t="str">
        <f>IFERROR(__xludf.DUMMYFUNCTION("""COMPUTED_VALUE"""),"初号ハイニッカ復刻版")</f>
        <v>初号ハイニッカ復刻版</v>
      </c>
      <c r="H78" s="35"/>
      <c r="I78" s="35"/>
      <c r="J78" s="35"/>
      <c r="K78" s="35"/>
      <c r="L78" s="35"/>
      <c r="M78" s="35"/>
      <c r="N78" s="36">
        <f>IFERROR(__xludf.DUMMYFUNCTION("""COMPUTED_VALUE"""),0.39)</f>
        <v>0.39</v>
      </c>
      <c r="O78" s="35"/>
      <c r="P78" s="37">
        <f>IFERROR(__xludf.DUMMYFUNCTION("""COMPUTED_VALUE"""),1300.0)</f>
        <v>1300</v>
      </c>
      <c r="Q78" s="37">
        <f>IFERROR(__xludf.DUMMYFUNCTION("""COMPUTED_VALUE"""),750.0)</f>
        <v>750</v>
      </c>
      <c r="R78" s="37"/>
      <c r="S78" s="38"/>
      <c r="T78" s="35"/>
      <c r="U78" s="35"/>
    </row>
    <row r="79" ht="15.75" customHeight="1">
      <c r="A79" s="35" t="str">
        <f>IFERROR(__xludf.DUMMYFUNCTION("""COMPUTED_VALUE"""),"JP")</f>
        <v>JP</v>
      </c>
      <c r="B79" s="35" t="str">
        <f>IFERROR(__xludf.DUMMYFUNCTION("""COMPUTED_VALUE"""),"ニッカ")</f>
        <v>ニッカ</v>
      </c>
      <c r="C79" s="35" t="str">
        <f>IFERROR(__xludf.DUMMYFUNCTION("""COMPUTED_VALUE"""),"ニッカ")</f>
        <v>ニッカ</v>
      </c>
      <c r="D79" s="35"/>
      <c r="E79" s="35" t="str">
        <f>IFERROR(__xludf.DUMMYFUNCTION("""COMPUTED_VALUE"""),"ブレンデッド")</f>
        <v>ブレンデッド</v>
      </c>
      <c r="F79" s="35"/>
      <c r="G79" s="35" t="str">
        <f>IFERROR(__xludf.DUMMYFUNCTION("""COMPUTED_VALUE"""),"ニューブレンド ハイニッカ")</f>
        <v>ニューブレンド ハイニッカ</v>
      </c>
      <c r="H79" s="35" t="str">
        <f>IFERROR(__xludf.DUMMYFUNCTION("""COMPUTED_VALUE"""),"2級酒")</f>
        <v>2級酒</v>
      </c>
      <c r="I79" s="35"/>
      <c r="J79" s="35"/>
      <c r="K79" s="35"/>
      <c r="L79" s="35"/>
      <c r="M79" s="35"/>
      <c r="N79" s="36">
        <f>IFERROR(__xludf.DUMMYFUNCTION("""COMPUTED_VALUE"""),0.39)</f>
        <v>0.39</v>
      </c>
      <c r="O79" s="35"/>
      <c r="P79" s="37">
        <f>IFERROR(__xludf.DUMMYFUNCTION("""COMPUTED_VALUE"""),1000.0)</f>
        <v>1000</v>
      </c>
      <c r="Q79" s="37">
        <f>IFERROR(__xludf.DUMMYFUNCTION("""COMPUTED_VALUE"""),600.0)</f>
        <v>600</v>
      </c>
      <c r="R79" s="37"/>
      <c r="S79" s="38"/>
      <c r="T79" s="35"/>
      <c r="U79" s="35"/>
    </row>
    <row r="80" ht="15.75" customHeight="1">
      <c r="A80" s="35" t="str">
        <f>IFERROR(__xludf.DUMMYFUNCTION("""COMPUTED_VALUE"""),"JP")</f>
        <v>JP</v>
      </c>
      <c r="B80" s="35" t="str">
        <f>IFERROR(__xludf.DUMMYFUNCTION("""COMPUTED_VALUE"""),"ニッカ")</f>
        <v>ニッカ</v>
      </c>
      <c r="C80" s="35" t="str">
        <f>IFERROR(__xludf.DUMMYFUNCTION("""COMPUTED_VALUE"""),"ニッカ")</f>
        <v>ニッカ</v>
      </c>
      <c r="D80" s="35"/>
      <c r="E80" s="35" t="str">
        <f>IFERROR(__xludf.DUMMYFUNCTION("""COMPUTED_VALUE"""),"ブレンデッド")</f>
        <v>ブレンデッド</v>
      </c>
      <c r="F80" s="35"/>
      <c r="G80" s="35" t="str">
        <f>IFERROR(__xludf.DUMMYFUNCTION("""COMPUTED_VALUE"""),"デイズ")</f>
        <v>デイズ</v>
      </c>
      <c r="H80" s="35" t="str">
        <f>IFERROR(__xludf.DUMMYFUNCTION("""COMPUTED_VALUE"""),"欧米限定")</f>
        <v>欧米限定</v>
      </c>
      <c r="I80" s="35"/>
      <c r="J80" s="35"/>
      <c r="K80" s="35"/>
      <c r="L80" s="35" t="str">
        <f>IFERROR(__xludf.DUMMYFUNCTION("""COMPUTED_VALUE"""),"✓")</f>
        <v>✓</v>
      </c>
      <c r="M80" s="35"/>
      <c r="N80" s="36">
        <f>IFERROR(__xludf.DUMMYFUNCTION("""COMPUTED_VALUE"""),0.4)</f>
        <v>0.4</v>
      </c>
      <c r="O80" s="35"/>
      <c r="P80" s="37">
        <f>IFERROR(__xludf.DUMMYFUNCTION("""COMPUTED_VALUE"""),1200.0)</f>
        <v>1200</v>
      </c>
      <c r="Q80" s="37">
        <f>IFERROR(__xludf.DUMMYFUNCTION("""COMPUTED_VALUE"""),700.0)</f>
        <v>700</v>
      </c>
      <c r="R80" s="37"/>
      <c r="S80" s="38">
        <f>IFERROR(__xludf.DUMMYFUNCTION("""COMPUTED_VALUE"""),45165.0)</f>
        <v>45165</v>
      </c>
      <c r="T80" s="35"/>
      <c r="U80" s="35"/>
    </row>
    <row r="81" ht="15.75" customHeight="1">
      <c r="A81" s="35" t="str">
        <f>IFERROR(__xludf.DUMMYFUNCTION("""COMPUTED_VALUE"""),"JP")</f>
        <v>JP</v>
      </c>
      <c r="B81" s="35" t="str">
        <f>IFERROR(__xludf.DUMMYFUNCTION("""COMPUTED_VALUE"""),"ニッカ")</f>
        <v>ニッカ</v>
      </c>
      <c r="C81" s="35" t="str">
        <f>IFERROR(__xludf.DUMMYFUNCTION("""COMPUTED_VALUE"""),"ニッカ")</f>
        <v>ニッカ</v>
      </c>
      <c r="D81" s="35"/>
      <c r="E81" s="35" t="str">
        <f>IFERROR(__xludf.DUMMYFUNCTION("""COMPUTED_VALUE"""),"ブレンデッド")</f>
        <v>ブレンデッド</v>
      </c>
      <c r="F81" s="35"/>
      <c r="G81" s="35" t="str">
        <f>IFERROR(__xludf.DUMMYFUNCTION("""COMPUTED_VALUE"""),"エイジングトリプル")</f>
        <v>エイジングトリプル</v>
      </c>
      <c r="H81" s="35"/>
      <c r="I81" s="35"/>
      <c r="J81" s="35"/>
      <c r="K81" s="35"/>
      <c r="L81" s="35"/>
      <c r="M81" s="35"/>
      <c r="N81" s="36">
        <f>IFERROR(__xludf.DUMMYFUNCTION("""COMPUTED_VALUE"""),0.4)</f>
        <v>0.4</v>
      </c>
      <c r="O81" s="35"/>
      <c r="P81" s="37">
        <f>IFERROR(__xludf.DUMMYFUNCTION("""COMPUTED_VALUE"""),1200.0)</f>
        <v>1200</v>
      </c>
      <c r="Q81" s="37">
        <f>IFERROR(__xludf.DUMMYFUNCTION("""COMPUTED_VALUE"""),700.0)</f>
        <v>700</v>
      </c>
      <c r="R81" s="37"/>
      <c r="S81" s="38"/>
      <c r="T81" s="35"/>
      <c r="U81" s="35"/>
    </row>
    <row r="82" ht="15.75" customHeight="1">
      <c r="A82" s="35" t="str">
        <f>IFERROR(__xludf.DUMMYFUNCTION("""COMPUTED_VALUE"""),"JP")</f>
        <v>JP</v>
      </c>
      <c r="B82" s="35" t="str">
        <f>IFERROR(__xludf.DUMMYFUNCTION("""COMPUTED_VALUE"""),"ニッカ")</f>
        <v>ニッカ</v>
      </c>
      <c r="C82" s="35" t="str">
        <f>IFERROR(__xludf.DUMMYFUNCTION("""COMPUTED_VALUE"""),"ニッカ")</f>
        <v>ニッカ</v>
      </c>
      <c r="D82" s="35"/>
      <c r="E82" s="35" t="str">
        <f>IFERROR(__xludf.DUMMYFUNCTION("""COMPUTED_VALUE"""),"ブレンデッド")</f>
        <v>ブレンデッド</v>
      </c>
      <c r="F82" s="35"/>
      <c r="G82" s="35" t="str">
        <f>IFERROR(__xludf.DUMMYFUNCTION("""COMPUTED_VALUE"""),"G&amp;G")</f>
        <v>G&amp;G</v>
      </c>
      <c r="H82" s="35"/>
      <c r="I82" s="35"/>
      <c r="J82" s="35"/>
      <c r="K82" s="35"/>
      <c r="L82" s="35"/>
      <c r="M82" s="35"/>
      <c r="N82" s="36">
        <f>IFERROR(__xludf.DUMMYFUNCTION("""COMPUTED_VALUE"""),0.43)</f>
        <v>0.43</v>
      </c>
      <c r="O82" s="35"/>
      <c r="P82" s="37">
        <f>IFERROR(__xludf.DUMMYFUNCTION("""COMPUTED_VALUE"""),1200.0)</f>
        <v>1200</v>
      </c>
      <c r="Q82" s="37">
        <f>IFERROR(__xludf.DUMMYFUNCTION("""COMPUTED_VALUE"""),700.0)</f>
        <v>700</v>
      </c>
      <c r="R82" s="37"/>
      <c r="S82" s="38">
        <f>IFERROR(__xludf.DUMMYFUNCTION("""COMPUTED_VALUE"""),45302.0)</f>
        <v>45302</v>
      </c>
      <c r="T82" s="35"/>
      <c r="U82" s="35"/>
    </row>
    <row r="83" ht="15.75" customHeight="1">
      <c r="A83" s="35" t="str">
        <f>IFERROR(__xludf.DUMMYFUNCTION("""COMPUTED_VALUE"""),"JP")</f>
        <v>JP</v>
      </c>
      <c r="B83" s="35" t="str">
        <f>IFERROR(__xludf.DUMMYFUNCTION("""COMPUTED_VALUE"""),"ニッカ")</f>
        <v>ニッカ</v>
      </c>
      <c r="C83" s="35" t="str">
        <f>IFERROR(__xludf.DUMMYFUNCTION("""COMPUTED_VALUE"""),"ニッカ")</f>
        <v>ニッカ</v>
      </c>
      <c r="D83" s="35"/>
      <c r="E83" s="35" t="str">
        <f>IFERROR(__xludf.DUMMYFUNCTION("""COMPUTED_VALUE"""),"ブレンデッド")</f>
        <v>ブレンデッド</v>
      </c>
      <c r="F83" s="35"/>
      <c r="G83" s="35" t="str">
        <f>IFERROR(__xludf.DUMMYFUNCTION("""COMPUTED_VALUE"""),"フォーチューン ‘80")</f>
        <v>フォーチューン ‘80</v>
      </c>
      <c r="H83" s="35" t="str">
        <f>IFERROR(__xludf.DUMMYFUNCTION("""COMPUTED_VALUE"""),"特級酒")</f>
        <v>特級酒</v>
      </c>
      <c r="I83" s="35"/>
      <c r="J83" s="35"/>
      <c r="K83" s="35"/>
      <c r="L83" s="35"/>
      <c r="M83" s="35"/>
      <c r="N83" s="36">
        <f>IFERROR(__xludf.DUMMYFUNCTION("""COMPUTED_VALUE"""),0.43)</f>
        <v>0.43</v>
      </c>
      <c r="O83" s="35"/>
      <c r="P83" s="37">
        <f>IFERROR(__xludf.DUMMYFUNCTION("""COMPUTED_VALUE"""),2600.0)</f>
        <v>2600</v>
      </c>
      <c r="Q83" s="37">
        <f>IFERROR(__xludf.DUMMYFUNCTION("""COMPUTED_VALUE"""),1400.0)</f>
        <v>1400</v>
      </c>
      <c r="R83" s="37"/>
      <c r="S83" s="38"/>
      <c r="T83" s="35"/>
      <c r="U83" s="35"/>
    </row>
    <row r="84" ht="15.75" customHeight="1">
      <c r="A84" s="35" t="str">
        <f>IFERROR(__xludf.DUMMYFUNCTION("""COMPUTED_VALUE"""),"JP")</f>
        <v>JP</v>
      </c>
      <c r="B84" s="35" t="str">
        <f>IFERROR(__xludf.DUMMYFUNCTION("""COMPUTED_VALUE"""),"ニッカ")</f>
        <v>ニッカ</v>
      </c>
      <c r="C84" s="35" t="str">
        <f>IFERROR(__xludf.DUMMYFUNCTION("""COMPUTED_VALUE"""),"ニッカ")</f>
        <v>ニッカ</v>
      </c>
      <c r="D84" s="35"/>
      <c r="E84" s="35" t="str">
        <f>IFERROR(__xludf.DUMMYFUNCTION("""COMPUTED_VALUE"""),"ブレンデッド")</f>
        <v>ブレンデッド</v>
      </c>
      <c r="F84" s="35"/>
      <c r="G84" s="35" t="str">
        <f>IFERROR(__xludf.DUMMYFUNCTION("""COMPUTED_VALUE"""),"キングスランド")</f>
        <v>キングスランド</v>
      </c>
      <c r="H84" s="35" t="str">
        <f>IFERROR(__xludf.DUMMYFUNCTION("""COMPUTED_VALUE"""),"特級酒")</f>
        <v>特級酒</v>
      </c>
      <c r="I84" s="35"/>
      <c r="J84" s="35"/>
      <c r="K84" s="35"/>
      <c r="L84" s="35"/>
      <c r="M84" s="35"/>
      <c r="N84" s="36">
        <f>IFERROR(__xludf.DUMMYFUNCTION("""COMPUTED_VALUE"""),0.43)</f>
        <v>0.43</v>
      </c>
      <c r="O84" s="35"/>
      <c r="P84" s="37">
        <f>IFERROR(__xludf.DUMMYFUNCTION("""COMPUTED_VALUE"""),1500.0)</f>
        <v>1500</v>
      </c>
      <c r="Q84" s="37">
        <f>IFERROR(__xludf.DUMMYFUNCTION("""COMPUTED_VALUE"""),850.0)</f>
        <v>850</v>
      </c>
      <c r="R84" s="37"/>
      <c r="S84" s="38"/>
      <c r="T84" s="35"/>
      <c r="U84" s="35"/>
    </row>
    <row r="85" ht="15.75" customHeight="1">
      <c r="A85" s="35" t="str">
        <f>IFERROR(__xludf.DUMMYFUNCTION("""COMPUTED_VALUE"""),"JP")</f>
        <v>JP</v>
      </c>
      <c r="B85" s="35" t="str">
        <f>IFERROR(__xludf.DUMMYFUNCTION("""COMPUTED_VALUE"""),"ニッカ")</f>
        <v>ニッカ</v>
      </c>
      <c r="C85" s="35" t="str">
        <f>IFERROR(__xludf.DUMMYFUNCTION("""COMPUTED_VALUE"""),"ニッカ")</f>
        <v>ニッカ</v>
      </c>
      <c r="D85" s="35"/>
      <c r="E85" s="35" t="str">
        <f>IFERROR(__xludf.DUMMYFUNCTION("""COMPUTED_VALUE"""),"ブレンデッド")</f>
        <v>ブレンデッド</v>
      </c>
      <c r="F85" s="35"/>
      <c r="G85" s="35" t="str">
        <f>IFERROR(__xludf.DUMMYFUNCTION("""COMPUTED_VALUE"""),"グランドニッカ")</f>
        <v>グランドニッカ</v>
      </c>
      <c r="H85" s="35" t="str">
        <f>IFERROR(__xludf.DUMMYFUNCTION("""COMPUTED_VALUE"""),"特級酒")</f>
        <v>特級酒</v>
      </c>
      <c r="I85" s="35"/>
      <c r="J85" s="35"/>
      <c r="K85" s="35"/>
      <c r="L85" s="35"/>
      <c r="M85" s="35"/>
      <c r="N85" s="36">
        <f>IFERROR(__xludf.DUMMYFUNCTION("""COMPUTED_VALUE"""),0.43)</f>
        <v>0.43</v>
      </c>
      <c r="O85" s="35"/>
      <c r="P85" s="37">
        <f>IFERROR(__xludf.DUMMYFUNCTION("""COMPUTED_VALUE"""),1300.0)</f>
        <v>1300</v>
      </c>
      <c r="Q85" s="37">
        <f>IFERROR(__xludf.DUMMYFUNCTION("""COMPUTED_VALUE"""),750.0)</f>
        <v>750</v>
      </c>
      <c r="R85" s="37"/>
      <c r="S85" s="38">
        <f>IFERROR(__xludf.DUMMYFUNCTION("""COMPUTED_VALUE"""),45208.0)</f>
        <v>45208</v>
      </c>
      <c r="T85" s="35"/>
      <c r="U85" s="35"/>
    </row>
    <row r="86" ht="15.75" customHeight="1">
      <c r="A86" s="35" t="str">
        <f>IFERROR(__xludf.DUMMYFUNCTION("""COMPUTED_VALUE"""),"JP")</f>
        <v>JP</v>
      </c>
      <c r="B86" s="35" t="str">
        <f>IFERROR(__xludf.DUMMYFUNCTION("""COMPUTED_VALUE"""),"ニッカ")</f>
        <v>ニッカ</v>
      </c>
      <c r="C86" s="35" t="str">
        <f>IFERROR(__xludf.DUMMYFUNCTION("""COMPUTED_VALUE"""),"ニッカ")</f>
        <v>ニッカ</v>
      </c>
      <c r="D86" s="35"/>
      <c r="E86" s="35" t="str">
        <f>IFERROR(__xludf.DUMMYFUNCTION("""COMPUTED_VALUE"""),"ブレンデッド")</f>
        <v>ブレンデッド</v>
      </c>
      <c r="F86" s="35"/>
      <c r="G86" s="35" t="str">
        <f>IFERROR(__xludf.DUMMYFUNCTION("""COMPUTED_VALUE"""),"コーンベース")</f>
        <v>コーンベース</v>
      </c>
      <c r="H86" s="35" t="str">
        <f>IFERROR(__xludf.DUMMYFUNCTION("""COMPUTED_VALUE"""),"特級酒")</f>
        <v>特級酒</v>
      </c>
      <c r="I86" s="35"/>
      <c r="J86" s="35"/>
      <c r="K86" s="35"/>
      <c r="L86" s="35"/>
      <c r="M86" s="35"/>
      <c r="N86" s="36">
        <f>IFERROR(__xludf.DUMMYFUNCTION("""COMPUTED_VALUE"""),0.43)</f>
        <v>0.43</v>
      </c>
      <c r="O86" s="35"/>
      <c r="P86" s="37">
        <f>IFERROR(__xludf.DUMMYFUNCTION("""COMPUTED_VALUE"""),1500.0)</f>
        <v>1500</v>
      </c>
      <c r="Q86" s="37">
        <f>IFERROR(__xludf.DUMMYFUNCTION("""COMPUTED_VALUE"""),850.0)</f>
        <v>850</v>
      </c>
      <c r="R86" s="37"/>
      <c r="S86" s="38">
        <f>IFERROR(__xludf.DUMMYFUNCTION("""COMPUTED_VALUE"""),45266.0)</f>
        <v>45266</v>
      </c>
      <c r="T86" s="35"/>
      <c r="U86" s="35"/>
    </row>
    <row r="87" ht="15.75" customHeight="1">
      <c r="A87" s="35" t="str">
        <f>IFERROR(__xludf.DUMMYFUNCTION("""COMPUTED_VALUE"""),"JP")</f>
        <v>JP</v>
      </c>
      <c r="B87" s="35" t="str">
        <f>IFERROR(__xludf.DUMMYFUNCTION("""COMPUTED_VALUE"""),"ニッカ")</f>
        <v>ニッカ</v>
      </c>
      <c r="C87" s="35" t="str">
        <f>IFERROR(__xludf.DUMMYFUNCTION("""COMPUTED_VALUE"""),"ニッカ")</f>
        <v>ニッカ</v>
      </c>
      <c r="D87" s="35"/>
      <c r="E87" s="35" t="str">
        <f>IFERROR(__xludf.DUMMYFUNCTION("""COMPUTED_VALUE"""),"ブレンデッド")</f>
        <v>ブレンデッド</v>
      </c>
      <c r="F87" s="35"/>
      <c r="G87" s="35" t="str">
        <f>IFERROR(__xludf.DUMMYFUNCTION("""COMPUTED_VALUE"""),"マイルドニッカ")</f>
        <v>マイルドニッカ</v>
      </c>
      <c r="H87" s="35" t="str">
        <f>IFERROR(__xludf.DUMMYFUNCTION("""COMPUTED_VALUE"""),"特級酒")</f>
        <v>特級酒</v>
      </c>
      <c r="I87" s="35"/>
      <c r="J87" s="35"/>
      <c r="K87" s="35"/>
      <c r="L87" s="35"/>
      <c r="M87" s="35"/>
      <c r="N87" s="36">
        <f>IFERROR(__xludf.DUMMYFUNCTION("""COMPUTED_VALUE"""),0.43)</f>
        <v>0.43</v>
      </c>
      <c r="O87" s="35"/>
      <c r="P87" s="37">
        <f>IFERROR(__xludf.DUMMYFUNCTION("""COMPUTED_VALUE"""),1800.0)</f>
        <v>1800</v>
      </c>
      <c r="Q87" s="37">
        <f>IFERROR(__xludf.DUMMYFUNCTION("""COMPUTED_VALUE"""),1000.0)</f>
        <v>1000</v>
      </c>
      <c r="R87" s="37"/>
      <c r="S87" s="38">
        <f>IFERROR(__xludf.DUMMYFUNCTION("""COMPUTED_VALUE"""),45269.0)</f>
        <v>45269</v>
      </c>
      <c r="T87" s="35"/>
      <c r="U87" s="35"/>
    </row>
    <row r="88" ht="15.75" customHeight="1">
      <c r="A88" s="35" t="str">
        <f>IFERROR(__xludf.DUMMYFUNCTION("""COMPUTED_VALUE"""),"JP")</f>
        <v>JP</v>
      </c>
      <c r="B88" s="35" t="str">
        <f>IFERROR(__xludf.DUMMYFUNCTION("""COMPUTED_VALUE"""),"ニッカ")</f>
        <v>ニッカ</v>
      </c>
      <c r="C88" s="35" t="str">
        <f>IFERROR(__xludf.DUMMYFUNCTION("""COMPUTED_VALUE"""),"ニッカ")</f>
        <v>ニッカ</v>
      </c>
      <c r="D88" s="35"/>
      <c r="E88" s="35" t="str">
        <f>IFERROR(__xludf.DUMMYFUNCTION("""COMPUTED_VALUE"""),"ブレンデッド")</f>
        <v>ブレンデッド</v>
      </c>
      <c r="F88" s="35"/>
      <c r="G88" s="35" t="str">
        <f>IFERROR(__xludf.DUMMYFUNCTION("""COMPUTED_VALUE"""),"モルト&amp;ライ コネクション")</f>
        <v>モルト&amp;ライ コネクション</v>
      </c>
      <c r="H88" s="35" t="str">
        <f>IFERROR(__xludf.DUMMYFUNCTION("""COMPUTED_VALUE"""),"2級酒")</f>
        <v>2級酒</v>
      </c>
      <c r="I88" s="35"/>
      <c r="J88" s="35"/>
      <c r="K88" s="35"/>
      <c r="L88" s="35"/>
      <c r="M88" s="35"/>
      <c r="N88" s="36">
        <f>IFERROR(__xludf.DUMMYFUNCTION("""COMPUTED_VALUE"""),0.39)</f>
        <v>0.39</v>
      </c>
      <c r="O88" s="35"/>
      <c r="P88" s="37">
        <f>IFERROR(__xludf.DUMMYFUNCTION("""COMPUTED_VALUE"""),1100.0)</f>
        <v>1100</v>
      </c>
      <c r="Q88" s="37">
        <f>IFERROR(__xludf.DUMMYFUNCTION("""COMPUTED_VALUE"""),650.0)</f>
        <v>650</v>
      </c>
      <c r="R88" s="37"/>
      <c r="S88" s="38"/>
      <c r="T88" s="35"/>
      <c r="U88" s="35"/>
    </row>
    <row r="89" ht="15.75" customHeight="1">
      <c r="A89" s="35" t="str">
        <f>IFERROR(__xludf.DUMMYFUNCTION("""COMPUTED_VALUE"""),"JP")</f>
        <v>JP</v>
      </c>
      <c r="B89" s="35" t="str">
        <f>IFERROR(__xludf.DUMMYFUNCTION("""COMPUTED_VALUE"""),"ニッカ")</f>
        <v>ニッカ</v>
      </c>
      <c r="C89" s="35" t="str">
        <f>IFERROR(__xludf.DUMMYFUNCTION("""COMPUTED_VALUE"""),"ニッカ")</f>
        <v>ニッカ</v>
      </c>
      <c r="D89" s="35"/>
      <c r="E89" s="35" t="str">
        <f>IFERROR(__xludf.DUMMYFUNCTION("""COMPUTED_VALUE"""),"ブレンデッド")</f>
        <v>ブレンデッド</v>
      </c>
      <c r="F89" s="35"/>
      <c r="G89" s="35" t="str">
        <f>IFERROR(__xludf.DUMMYFUNCTION("""COMPUTED_VALUE"""),"アクアウイスキー")</f>
        <v>アクアウイスキー</v>
      </c>
      <c r="H89" s="35" t="str">
        <f>IFERROR(__xludf.DUMMYFUNCTION("""COMPUTED_VALUE"""),"北海道限定")</f>
        <v>北海道限定</v>
      </c>
      <c r="I89" s="35"/>
      <c r="J89" s="35"/>
      <c r="K89" s="35"/>
      <c r="L89" s="35"/>
      <c r="M89" s="35"/>
      <c r="N89" s="36">
        <f>IFERROR(__xludf.DUMMYFUNCTION("""COMPUTED_VALUE"""),0.25)</f>
        <v>0.25</v>
      </c>
      <c r="O89" s="35"/>
      <c r="P89" s="37">
        <f>IFERROR(__xludf.DUMMYFUNCTION("""COMPUTED_VALUE"""),1000.0)</f>
        <v>1000</v>
      </c>
      <c r="Q89" s="37">
        <f>IFERROR(__xludf.DUMMYFUNCTION("""COMPUTED_VALUE"""),600.0)</f>
        <v>600</v>
      </c>
      <c r="R89" s="37"/>
      <c r="S89" s="38"/>
      <c r="T89" s="35"/>
      <c r="U89" s="3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9.0"/>
    <col customWidth="1" min="3" max="3" width="19.0"/>
    <col customWidth="1" hidden="1" min="4" max="4" width="25.29"/>
    <col customWidth="1" min="5" max="5" width="25.29"/>
    <col customWidth="1" hidden="1" min="6" max="6" width="7.86"/>
    <col customWidth="1" min="7" max="7" width="66.57"/>
    <col customWidth="1" min="8" max="8" width="19.14"/>
    <col customWidth="1" hidden="1" min="9" max="9" width="6.29"/>
    <col customWidth="1" hidden="1" min="10" max="10" width="12.0"/>
    <col customWidth="1" hidden="1" min="11" max="12" width="5.71"/>
    <col customWidth="1" hidden="1" min="13" max="13" width="19.43"/>
    <col customWidth="1" min="14" max="14" width="5.71"/>
    <col customWidth="1" hidden="1" min="15" max="15" width="19.43"/>
    <col customWidth="1" min="16" max="18" width="7.43"/>
    <col customWidth="1" min="19" max="19" width="12.0"/>
    <col customWidth="1" min="20" max="22" width="19.43"/>
  </cols>
  <sheetData>
    <row r="1">
      <c r="A1" s="33" t="s">
        <v>710</v>
      </c>
      <c r="T1" s="33"/>
      <c r="U1" s="33"/>
      <c r="V1" s="33"/>
    </row>
    <row r="2">
      <c r="A2" s="34" t="str">
        <f>IFERROR(__xludf.DUMMYFUNCTION("QUERY('全ウイスキー'!A:S, ""SELECT * WHERE B contains 'キリン'"")"),"国")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IFERROR(__xludf.DUMMYFUNCTION("""COMPUTED_VALUE"""),"キリン")</f>
        <v>キリン</v>
      </c>
      <c r="C3" s="35" t="str">
        <f>IFERROR(__xludf.DUMMYFUNCTION("""COMPUTED_VALUE"""),"キリン")</f>
        <v>キリン</v>
      </c>
      <c r="D3" s="35" t="str">
        <f>IFERROR(__xludf.DUMMYFUNCTION("""COMPUTED_VALUE"""),"御殿場")</f>
        <v>御殿場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IFERROR(__xludf.DUMMYFUNCTION("""COMPUTED_VALUE"""),"#M806")</f>
        <v>#M806</v>
      </c>
      <c r="G3" s="35" t="str">
        <f>IFERROR(__xludf.DUMMYFUNCTION("""COMPUTED_VALUE"""),"富士御殿場 10年")</f>
        <v>富士御殿場 10年</v>
      </c>
      <c r="H3" s="35"/>
      <c r="I3" s="35"/>
      <c r="J3" s="35" t="str">
        <f>IFERROR(__xludf.DUMMYFUNCTION("""COMPUTED_VALUE"""),"バーボン樽")</f>
        <v>バーボン樽</v>
      </c>
      <c r="K3" s="35" t="str">
        <f>IFERROR(__xludf.DUMMYFUNCTION("""COMPUTED_VALUE"""),"2002-2012")</f>
        <v>2002-2012</v>
      </c>
      <c r="L3" s="35"/>
      <c r="M3" s="35"/>
      <c r="N3" s="36">
        <f>IFERROR(__xludf.DUMMYFUNCTION("""COMPUTED_VALUE"""),0.45)</f>
        <v>0.45</v>
      </c>
      <c r="O3" s="35"/>
      <c r="P3" s="37">
        <f>IFERROR(__xludf.DUMMYFUNCTION("""COMPUTED_VALUE"""),1800.0)</f>
        <v>1800</v>
      </c>
      <c r="Q3" s="37">
        <f>IFERROR(__xludf.DUMMYFUNCTION("""COMPUTED_VALUE"""),1000.0)</f>
        <v>1000</v>
      </c>
      <c r="R3" s="37"/>
      <c r="S3" s="38">
        <f>IFERROR(__xludf.DUMMYFUNCTION("""COMPUTED_VALUE"""),45195.0)</f>
        <v>45195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IFERROR(__xludf.DUMMYFUNCTION("""COMPUTED_VALUE"""),"キリン")</f>
        <v>キリン</v>
      </c>
      <c r="C4" s="35" t="str">
        <f>IFERROR(__xludf.DUMMYFUNCTION("""COMPUTED_VALUE"""),"キリン")</f>
        <v>キリン</v>
      </c>
      <c r="D4" s="35" t="str">
        <f>IFERROR(__xludf.DUMMYFUNCTION("""COMPUTED_VALUE"""),"御殿場")</f>
        <v>御殿場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IFERROR(__xludf.DUMMYFUNCTION("""COMPUTED_VALUE"""),"#M820")</f>
        <v>#M820</v>
      </c>
      <c r="G4" s="35" t="str">
        <f>IFERROR(__xludf.DUMMYFUNCTION("""COMPUTED_VALUE"""),"富士御殿場 10年")</f>
        <v>富士御殿場 10年</v>
      </c>
      <c r="H4" s="35"/>
      <c r="I4" s="35"/>
      <c r="J4" s="35" t="str">
        <f>IFERROR(__xludf.DUMMYFUNCTION("""COMPUTED_VALUE"""),"バーボン樽")</f>
        <v>バーボン樽</v>
      </c>
      <c r="K4" s="35" t="str">
        <f>IFERROR(__xludf.DUMMYFUNCTION("""COMPUTED_VALUE"""),"2003-2013")</f>
        <v>2003-2013</v>
      </c>
      <c r="L4" s="35"/>
      <c r="M4" s="35"/>
      <c r="N4" s="36">
        <f>IFERROR(__xludf.DUMMYFUNCTION("""COMPUTED_VALUE"""),0.46)</f>
        <v>0.46</v>
      </c>
      <c r="O4" s="35"/>
      <c r="P4" s="37">
        <f>IFERROR(__xludf.DUMMYFUNCTION("""COMPUTED_VALUE"""),1800.0)</f>
        <v>1800</v>
      </c>
      <c r="Q4" s="37">
        <f>IFERROR(__xludf.DUMMYFUNCTION("""COMPUTED_VALUE"""),1000.0)</f>
        <v>1000</v>
      </c>
      <c r="R4" s="37"/>
      <c r="S4" s="38">
        <f>IFERROR(__xludf.DUMMYFUNCTION("""COMPUTED_VALUE"""),45198.0)</f>
        <v>45198</v>
      </c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IFERROR(__xludf.DUMMYFUNCTION("""COMPUTED_VALUE"""),"キリン")</f>
        <v>キリン</v>
      </c>
      <c r="C5" s="35" t="str">
        <f>IFERROR(__xludf.DUMMYFUNCTION("""COMPUTED_VALUE"""),"キリン")</f>
        <v>キリン</v>
      </c>
      <c r="D5" s="35" t="str">
        <f>IFERROR(__xludf.DUMMYFUNCTION("""COMPUTED_VALUE"""),"御殿場")</f>
        <v>御殿場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IFERROR(__xludf.DUMMYFUNCTION("""COMPUTED_VALUE"""),"#A050304")</f>
        <v>#A050304</v>
      </c>
      <c r="G5" s="35" t="str">
        <f>IFERROR(__xludf.DUMMYFUNCTION("""COMPUTED_VALUE"""),"富士御殿場蒸溜所 ディスティラリーズセレクト モルト")</f>
        <v>富士御殿場蒸溜所 ディスティラリーズセレクト モルト</v>
      </c>
      <c r="H5" s="35" t="str">
        <f>IFERROR(__xludf.DUMMYFUNCTION("""COMPUTED_VALUE"""),"蒸溜所限定")</f>
        <v>蒸溜所限定</v>
      </c>
      <c r="I5" s="35"/>
      <c r="J5" s="35" t="str">
        <f>IFERROR(__xludf.DUMMYFUNCTION("""COMPUTED_VALUE"""),"バーボン樽")</f>
        <v>バーボン樽</v>
      </c>
      <c r="K5" s="35" t="str">
        <f>IFERROR(__xludf.DUMMYFUNCTION("""COMPUTED_VALUE"""),"?-2018")</f>
        <v>?-2018</v>
      </c>
      <c r="L5" s="35"/>
      <c r="M5" s="35"/>
      <c r="N5" s="36">
        <f>IFERROR(__xludf.DUMMYFUNCTION("""COMPUTED_VALUE"""),0.51)</f>
        <v>0.51</v>
      </c>
      <c r="O5" s="35"/>
      <c r="P5" s="37">
        <f>IFERROR(__xludf.DUMMYFUNCTION("""COMPUTED_VALUE"""),2000.0)</f>
        <v>2000</v>
      </c>
      <c r="Q5" s="37">
        <f>IFERROR(__xludf.DUMMYFUNCTION("""COMPUTED_VALUE"""),1100.0)</f>
        <v>1100</v>
      </c>
      <c r="R5" s="37"/>
      <c r="S5" s="38"/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IFERROR(__xludf.DUMMYFUNCTION("""COMPUTED_VALUE"""),"キリン")</f>
        <v>キリン</v>
      </c>
      <c r="C6" s="35" t="str">
        <f>IFERROR(__xludf.DUMMYFUNCTION("""COMPUTED_VALUE"""),"キリン")</f>
        <v>キリン</v>
      </c>
      <c r="D6" s="35" t="str">
        <f>IFERROR(__xludf.DUMMYFUNCTION("""COMPUTED_VALUE"""),"御殿場")</f>
        <v>御殿場</v>
      </c>
      <c r="E6" s="35" t="str">
        <f>IFERROR(__xludf.DUMMYFUNCTION("""COMPUTED_VALUE"""),"シングルカスクグレーン")</f>
        <v>シングルカスクグレーン</v>
      </c>
      <c r="F6" s="35" t="str">
        <f>IFERROR(__xludf.DUMMYFUNCTION("""COMPUTED_VALUE"""),"#C043103")</f>
        <v>#C043103</v>
      </c>
      <c r="G6" s="35" t="str">
        <f>IFERROR(__xludf.DUMMYFUNCTION("""COMPUTED_VALUE"""),"富士御殿場蒸溜所 ディスティラリーズセレクト グレーン")</f>
        <v>富士御殿場蒸溜所 ディスティラリーズセレクト グレーン</v>
      </c>
      <c r="H6" s="35" t="str">
        <f>IFERROR(__xludf.DUMMYFUNCTION("""COMPUTED_VALUE"""),"蒸溜所限定")</f>
        <v>蒸溜所限定</v>
      </c>
      <c r="I6" s="35"/>
      <c r="J6" s="35" t="str">
        <f>IFERROR(__xludf.DUMMYFUNCTION("""COMPUTED_VALUE"""),"バーボン樽")</f>
        <v>バーボン樽</v>
      </c>
      <c r="K6" s="35" t="str">
        <f>IFERROR(__xludf.DUMMYFUNCTION("""COMPUTED_VALUE"""),"?-2018")</f>
        <v>?-2018</v>
      </c>
      <c r="L6" s="35"/>
      <c r="M6" s="35"/>
      <c r="N6" s="36">
        <f>IFERROR(__xludf.DUMMYFUNCTION("""COMPUTED_VALUE"""),0.64)</f>
        <v>0.64</v>
      </c>
      <c r="O6" s="35"/>
      <c r="P6" s="37">
        <f>IFERROR(__xludf.DUMMYFUNCTION("""COMPUTED_VALUE"""),2000.0)</f>
        <v>2000</v>
      </c>
      <c r="Q6" s="37">
        <f>IFERROR(__xludf.DUMMYFUNCTION("""COMPUTED_VALUE"""),1100.0)</f>
        <v>1100</v>
      </c>
      <c r="R6" s="37"/>
      <c r="S6" s="38"/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IFERROR(__xludf.DUMMYFUNCTION("""COMPUTED_VALUE"""),"キリン")</f>
        <v>キリン</v>
      </c>
      <c r="C7" s="35" t="str">
        <f>IFERROR(__xludf.DUMMYFUNCTION("""COMPUTED_VALUE"""),"キリン")</f>
        <v>キリン</v>
      </c>
      <c r="D7" s="35" t="str">
        <f>IFERROR(__xludf.DUMMYFUNCTION("""COMPUTED_VALUE"""),"御殿場")</f>
        <v>御殿場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IFERROR(__xludf.DUMMYFUNCTION("""COMPUTED_VALUE"""),"富士 シングルモルト")</f>
        <v>富士 シングルモルト</v>
      </c>
      <c r="H7" s="35"/>
      <c r="I7" s="35"/>
      <c r="J7" s="35"/>
      <c r="K7" s="35"/>
      <c r="L7" s="35" t="str">
        <f>IFERROR(__xludf.DUMMYFUNCTION("""COMPUTED_VALUE"""),"✓")</f>
        <v>✓</v>
      </c>
      <c r="M7" s="35"/>
      <c r="N7" s="36">
        <f>IFERROR(__xludf.DUMMYFUNCTION("""COMPUTED_VALUE"""),0.46)</f>
        <v>0.46</v>
      </c>
      <c r="O7" s="35"/>
      <c r="P7" s="37">
        <f>IFERROR(__xludf.DUMMYFUNCTION("""COMPUTED_VALUE"""),1500.0)</f>
        <v>1500</v>
      </c>
      <c r="Q7" s="37">
        <f>IFERROR(__xludf.DUMMYFUNCTION("""COMPUTED_VALUE"""),850.0)</f>
        <v>850</v>
      </c>
      <c r="R7" s="37"/>
      <c r="S7" s="38">
        <f>IFERROR(__xludf.DUMMYFUNCTION("""COMPUTED_VALUE"""),45699.0)</f>
        <v>45699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IFERROR(__xludf.DUMMYFUNCTION("""COMPUTED_VALUE"""),"キリン")</f>
        <v>キリン</v>
      </c>
      <c r="C8" s="35" t="str">
        <f>IFERROR(__xludf.DUMMYFUNCTION("""COMPUTED_VALUE"""),"キリン")</f>
        <v>キリン</v>
      </c>
      <c r="D8" s="35" t="str">
        <f>IFERROR(__xludf.DUMMYFUNCTION("""COMPUTED_VALUE"""),"御殿場")</f>
        <v>御殿場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IFERROR(__xludf.DUMMYFUNCTION("""COMPUTED_VALUE"""),"富士御殿場蒸溜所 20周年ピュアモルト")</f>
        <v>富士御殿場蒸溜所 20周年ピュアモルト</v>
      </c>
      <c r="H8" s="35" t="str">
        <f>IFERROR(__xludf.DUMMYFUNCTION("""COMPUTED_VALUE"""),"蒸溜所20周年記念")</f>
        <v>蒸溜所20周年記念</v>
      </c>
      <c r="I8" s="35"/>
      <c r="J8" s="35"/>
      <c r="K8" s="35"/>
      <c r="L8" s="35"/>
      <c r="M8" s="35"/>
      <c r="N8" s="36">
        <f>IFERROR(__xludf.DUMMYFUNCTION("""COMPUTED_VALUE"""),0.4)</f>
        <v>0.4</v>
      </c>
      <c r="O8" s="35"/>
      <c r="P8" s="37">
        <f>IFERROR(__xludf.DUMMYFUNCTION("""COMPUTED_VALUE"""),2200.0)</f>
        <v>2200</v>
      </c>
      <c r="Q8" s="37">
        <f>IFERROR(__xludf.DUMMYFUNCTION("""COMPUTED_VALUE"""),1200.0)</f>
        <v>1200</v>
      </c>
      <c r="R8" s="37"/>
      <c r="S8" s="38">
        <f>IFERROR(__xludf.DUMMYFUNCTION("""COMPUTED_VALUE"""),44941.0)</f>
        <v>44941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IFERROR(__xludf.DUMMYFUNCTION("""COMPUTED_VALUE"""),"キリン")</f>
        <v>キリン</v>
      </c>
      <c r="C9" s="35" t="str">
        <f>IFERROR(__xludf.DUMMYFUNCTION("""COMPUTED_VALUE"""),"キリン")</f>
        <v>キリン</v>
      </c>
      <c r="D9" s="35" t="str">
        <f>IFERROR(__xludf.DUMMYFUNCTION("""COMPUTED_VALUE"""),"御殿場")</f>
        <v>御殿場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IFERROR(__xludf.DUMMYFUNCTION("""COMPUTED_VALUE"""),"富士御殿場蒸溜所 ブレンダーズチョイス 2014 シングルモルト")</f>
        <v>富士御殿場蒸溜所 ブレンダーズチョイス 2014 シングルモルト</v>
      </c>
      <c r="H9" s="35"/>
      <c r="I9" s="35"/>
      <c r="J9" s="35"/>
      <c r="K9" s="35"/>
      <c r="L9" s="35"/>
      <c r="M9" s="35"/>
      <c r="N9" s="36">
        <f>IFERROR(__xludf.DUMMYFUNCTION("""COMPUTED_VALUE"""),0.46)</f>
        <v>0.46</v>
      </c>
      <c r="O9" s="35"/>
      <c r="P9" s="37">
        <f>IFERROR(__xludf.DUMMYFUNCTION("""COMPUTED_VALUE"""),2000.0)</f>
        <v>2000</v>
      </c>
      <c r="Q9" s="37">
        <f>IFERROR(__xludf.DUMMYFUNCTION("""COMPUTED_VALUE"""),1100.0)</f>
        <v>1100</v>
      </c>
      <c r="R9" s="37"/>
      <c r="S9" s="38">
        <f>IFERROR(__xludf.DUMMYFUNCTION("""COMPUTED_VALUE"""),45446.0)</f>
        <v>45446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IFERROR(__xludf.DUMMYFUNCTION("""COMPUTED_VALUE"""),"キリン")</f>
        <v>キリン</v>
      </c>
      <c r="C10" s="35" t="str">
        <f>IFERROR(__xludf.DUMMYFUNCTION("""COMPUTED_VALUE"""),"キリン")</f>
        <v>キリン</v>
      </c>
      <c r="D10" s="35" t="str">
        <f>IFERROR(__xludf.DUMMYFUNCTION("""COMPUTED_VALUE"""),"御殿場")</f>
        <v>御殿場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IFERROR(__xludf.DUMMYFUNCTION("""COMPUTED_VALUE"""),"富士御殿場蒸溜所 12年 赤ワインカスクフィニッシュ")</f>
        <v>富士御殿場蒸溜所 12年 赤ワインカスクフィニッシュ</v>
      </c>
      <c r="H10" s="35"/>
      <c r="I10" s="35"/>
      <c r="J10" s="35"/>
      <c r="K10" s="35"/>
      <c r="L10" s="35"/>
      <c r="M10" s="35"/>
      <c r="N10" s="36">
        <f>IFERROR(__xludf.DUMMYFUNCTION("""COMPUTED_VALUE"""),0.5)</f>
        <v>0.5</v>
      </c>
      <c r="O10" s="35"/>
      <c r="P10" s="37">
        <f>IFERROR(__xludf.DUMMYFUNCTION("""COMPUTED_VALUE"""),3000.0)</f>
        <v>3000</v>
      </c>
      <c r="Q10" s="37">
        <f>IFERROR(__xludf.DUMMYFUNCTION("""COMPUTED_VALUE"""),1600.0)</f>
        <v>1600</v>
      </c>
      <c r="R10" s="37"/>
      <c r="S10" s="38">
        <f>IFERROR(__xludf.DUMMYFUNCTION("""COMPUTED_VALUE"""),45210.0)</f>
        <v>45210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IFERROR(__xludf.DUMMYFUNCTION("""COMPUTED_VALUE"""),"キリン")</f>
        <v>キリン</v>
      </c>
      <c r="C11" s="35" t="str">
        <f>IFERROR(__xludf.DUMMYFUNCTION("""COMPUTED_VALUE"""),"キリン")</f>
        <v>キリン</v>
      </c>
      <c r="D11" s="35" t="str">
        <f>IFERROR(__xludf.DUMMYFUNCTION("""COMPUTED_VALUE"""),"御殿場")</f>
        <v>御殿場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IFERROR(__xludf.DUMMYFUNCTION("""COMPUTED_VALUE"""),"富士御殿場蒸溜所 17年")</f>
        <v>富士御殿場蒸溜所 17年</v>
      </c>
      <c r="H11" s="35"/>
      <c r="I11" s="35"/>
      <c r="J11" s="35"/>
      <c r="K11" s="35"/>
      <c r="L11" s="35"/>
      <c r="M11" s="35"/>
      <c r="N11" s="36">
        <f>IFERROR(__xludf.DUMMYFUNCTION("""COMPUTED_VALUE"""),0.46)</f>
        <v>0.46</v>
      </c>
      <c r="O11" s="35"/>
      <c r="P11" s="37">
        <f>IFERROR(__xludf.DUMMYFUNCTION("""COMPUTED_VALUE"""),2600.0)</f>
        <v>2600</v>
      </c>
      <c r="Q11" s="37">
        <f>IFERROR(__xludf.DUMMYFUNCTION("""COMPUTED_VALUE"""),1400.0)</f>
        <v>1400</v>
      </c>
      <c r="R11" s="37"/>
      <c r="S11" s="38">
        <f>IFERROR(__xludf.DUMMYFUNCTION("""COMPUTED_VALUE"""),44942.0)</f>
        <v>44942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IFERROR(__xludf.DUMMYFUNCTION("""COMPUTED_VALUE"""),"キリン")</f>
        <v>キリン</v>
      </c>
      <c r="C12" s="35" t="str">
        <f>IFERROR(__xludf.DUMMYFUNCTION("""COMPUTED_VALUE"""),"キリン")</f>
        <v>キリン</v>
      </c>
      <c r="D12" s="35" t="str">
        <f>IFERROR(__xludf.DUMMYFUNCTION("""COMPUTED_VALUE"""),"御殿場")</f>
        <v>御殿場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IFERROR(__xludf.DUMMYFUNCTION("""COMPUTED_VALUE"""),"富士山麓 18年")</f>
        <v>富士山麓 18年</v>
      </c>
      <c r="H12" s="35"/>
      <c r="I12" s="35"/>
      <c r="J12" s="35"/>
      <c r="K12" s="35"/>
      <c r="L12" s="35"/>
      <c r="M12" s="35"/>
      <c r="N12" s="36">
        <f>IFERROR(__xludf.DUMMYFUNCTION("""COMPUTED_VALUE"""),0.43)</f>
        <v>0.43</v>
      </c>
      <c r="O12" s="35"/>
      <c r="P12" s="37"/>
      <c r="Q12" s="37"/>
      <c r="R12" s="37">
        <f>IFERROR(__xludf.DUMMYFUNCTION("""COMPUTED_VALUE"""),2200.0)</f>
        <v>2200</v>
      </c>
      <c r="S12" s="38">
        <f>IFERROR(__xludf.DUMMYFUNCTION("""COMPUTED_VALUE"""),45235.0)</f>
        <v>45235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IFERROR(__xludf.DUMMYFUNCTION("""COMPUTED_VALUE"""),"キリン")</f>
        <v>キリン</v>
      </c>
      <c r="C13" s="35" t="str">
        <f>IFERROR(__xludf.DUMMYFUNCTION("""COMPUTED_VALUE"""),"キリン")</f>
        <v>キリン</v>
      </c>
      <c r="D13" s="35" t="str">
        <f>IFERROR(__xludf.DUMMYFUNCTION("""COMPUTED_VALUE"""),"御殿場")</f>
        <v>御殿場</v>
      </c>
      <c r="E13" s="35" t="str">
        <f>IFERROR(__xludf.DUMMYFUNCTION("""COMPUTED_VALUE"""),"シングルグレーン")</f>
        <v>シングルグレーン</v>
      </c>
      <c r="F13" s="35"/>
      <c r="G13" s="35" t="str">
        <f>IFERROR(__xludf.DUMMYFUNCTION("""COMPUTED_VALUE"""),"富士 シングルグレーン")</f>
        <v>富士 シングルグレーン</v>
      </c>
      <c r="H13" s="35"/>
      <c r="I13" s="35"/>
      <c r="J13" s="35"/>
      <c r="K13" s="35"/>
      <c r="L13" s="35" t="str">
        <f>IFERROR(__xludf.DUMMYFUNCTION("""COMPUTED_VALUE"""),"✓")</f>
        <v>✓</v>
      </c>
      <c r="M13" s="35"/>
      <c r="N13" s="36">
        <f>IFERROR(__xludf.DUMMYFUNCTION("""COMPUTED_VALUE"""),0.46)</f>
        <v>0.46</v>
      </c>
      <c r="O13" s="35"/>
      <c r="P13" s="37">
        <f>IFERROR(__xludf.DUMMYFUNCTION("""COMPUTED_VALUE"""),1400.0)</f>
        <v>1400</v>
      </c>
      <c r="Q13" s="37">
        <f>IFERROR(__xludf.DUMMYFUNCTION("""COMPUTED_VALUE"""),800.0)</f>
        <v>800</v>
      </c>
      <c r="R13" s="37"/>
      <c r="S13" s="38">
        <f>IFERROR(__xludf.DUMMYFUNCTION("""COMPUTED_VALUE"""),45702.0)</f>
        <v>45702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IFERROR(__xludf.DUMMYFUNCTION("""COMPUTED_VALUE"""),"キリン")</f>
        <v>キリン</v>
      </c>
      <c r="C14" s="35" t="str">
        <f>IFERROR(__xludf.DUMMYFUNCTION("""COMPUTED_VALUE"""),"キリン")</f>
        <v>キリン</v>
      </c>
      <c r="D14" s="35" t="str">
        <f>IFERROR(__xludf.DUMMYFUNCTION("""COMPUTED_VALUE"""),"御殿場")</f>
        <v>御殿場</v>
      </c>
      <c r="E14" s="35" t="str">
        <f>IFERROR(__xludf.DUMMYFUNCTION("""COMPUTED_VALUE"""),"シングルグレーン")</f>
        <v>シングルグレーン</v>
      </c>
      <c r="F14" s="35"/>
      <c r="G14" s="35" t="str">
        <f>IFERROR(__xludf.DUMMYFUNCTION("""COMPUTED_VALUE"""),"富士御殿場蒸溜所 シングルグレーン 40th.アニバーサリー")</f>
        <v>富士御殿場蒸溜所 シングルグレーン 40th.アニバーサリー</v>
      </c>
      <c r="H14" s="35" t="str">
        <f>IFERROR(__xludf.DUMMYFUNCTION("""COMPUTED_VALUE"""),"蒸溜所40周年記念")</f>
        <v>蒸溜所40周年記念</v>
      </c>
      <c r="I14" s="35"/>
      <c r="J14" s="35"/>
      <c r="K14" s="35"/>
      <c r="L14" s="35"/>
      <c r="M14" s="35"/>
      <c r="N14" s="36">
        <f>IFERROR(__xludf.DUMMYFUNCTION("""COMPUTED_VALUE"""),0.46)</f>
        <v>0.46</v>
      </c>
      <c r="O14" s="35"/>
      <c r="P14" s="37">
        <f>IFERROR(__xludf.DUMMYFUNCTION("""COMPUTED_VALUE"""),2600.0)</f>
        <v>2600</v>
      </c>
      <c r="Q14" s="37">
        <f>IFERROR(__xludf.DUMMYFUNCTION("""COMPUTED_VALUE"""),1400.0)</f>
        <v>1400</v>
      </c>
      <c r="R14" s="37"/>
      <c r="S14" s="38">
        <f>IFERROR(__xludf.DUMMYFUNCTION("""COMPUTED_VALUE"""),45004.0)</f>
        <v>45004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IFERROR(__xludf.DUMMYFUNCTION("""COMPUTED_VALUE"""),"キリン")</f>
        <v>キリン</v>
      </c>
      <c r="C15" s="35" t="str">
        <f>IFERROR(__xludf.DUMMYFUNCTION("""COMPUTED_VALUE"""),"キリン")</f>
        <v>キリン</v>
      </c>
      <c r="D15" s="35" t="str">
        <f>IFERROR(__xludf.DUMMYFUNCTION("""COMPUTED_VALUE"""),"御殿場")</f>
        <v>御殿場</v>
      </c>
      <c r="E15" s="35" t="str">
        <f>IFERROR(__xludf.DUMMYFUNCTION("""COMPUTED_VALUE"""),"シングルグレーン")</f>
        <v>シングルグレーン</v>
      </c>
      <c r="F15" s="35"/>
      <c r="G15" s="35" t="str">
        <f>IFERROR(__xludf.DUMMYFUNCTION("""COMPUTED_VALUE"""),"富士御殿場蒸溜所 ブレンダーズチョイス 2014 シングルグレーン")</f>
        <v>富士御殿場蒸溜所 ブレンダーズチョイス 2014 シングルグレーン</v>
      </c>
      <c r="H15" s="35"/>
      <c r="I15" s="35"/>
      <c r="J15" s="35"/>
      <c r="K15" s="35"/>
      <c r="L15" s="35"/>
      <c r="M15" s="35"/>
      <c r="N15" s="36">
        <f>IFERROR(__xludf.DUMMYFUNCTION("""COMPUTED_VALUE"""),0.46)</f>
        <v>0.46</v>
      </c>
      <c r="O15" s="35"/>
      <c r="P15" s="37">
        <f>IFERROR(__xludf.DUMMYFUNCTION("""COMPUTED_VALUE"""),2000.0)</f>
        <v>2000</v>
      </c>
      <c r="Q15" s="37">
        <f>IFERROR(__xludf.DUMMYFUNCTION("""COMPUTED_VALUE"""),1100.0)</f>
        <v>1100</v>
      </c>
      <c r="R15" s="37"/>
      <c r="S15" s="38">
        <f>IFERROR(__xludf.DUMMYFUNCTION("""COMPUTED_VALUE"""),45447.0)</f>
        <v>45447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IFERROR(__xludf.DUMMYFUNCTION("""COMPUTED_VALUE"""),"キリン")</f>
        <v>キリン</v>
      </c>
      <c r="C16" s="35" t="str">
        <f>IFERROR(__xludf.DUMMYFUNCTION("""COMPUTED_VALUE"""),"キリン")</f>
        <v>キリン</v>
      </c>
      <c r="D16" s="35" t="str">
        <f>IFERROR(__xludf.DUMMYFUNCTION("""COMPUTED_VALUE"""),"御殿場")</f>
        <v>御殿場</v>
      </c>
      <c r="E16" s="35" t="str">
        <f>IFERROR(__xludf.DUMMYFUNCTION("""COMPUTED_VALUE"""),"シングルブレンデッド")</f>
        <v>シングルブレンデッド</v>
      </c>
      <c r="F16" s="35"/>
      <c r="G16" s="35" t="str">
        <f>IFERROR(__xludf.DUMMYFUNCTION("""COMPUTED_VALUE"""),"富士 シングルブレンデッド")</f>
        <v>富士 シングルブレンデッド</v>
      </c>
      <c r="H16" s="35"/>
      <c r="I16" s="35"/>
      <c r="J16" s="35"/>
      <c r="K16" s="35"/>
      <c r="L16" s="35" t="str">
        <f>IFERROR(__xludf.DUMMYFUNCTION("""COMPUTED_VALUE"""),"✓")</f>
        <v>✓</v>
      </c>
      <c r="M16" s="35"/>
      <c r="N16" s="36">
        <f>IFERROR(__xludf.DUMMYFUNCTION("""COMPUTED_VALUE"""),0.43)</f>
        <v>0.43</v>
      </c>
      <c r="O16" s="35"/>
      <c r="P16" s="37">
        <f>IFERROR(__xludf.DUMMYFUNCTION("""COMPUTED_VALUE"""),1400.0)</f>
        <v>1400</v>
      </c>
      <c r="Q16" s="37">
        <f>IFERROR(__xludf.DUMMYFUNCTION("""COMPUTED_VALUE"""),800.0)</f>
        <v>800</v>
      </c>
      <c r="R16" s="37"/>
      <c r="S16" s="38">
        <f>IFERROR(__xludf.DUMMYFUNCTION("""COMPUTED_VALUE"""),45701.0)</f>
        <v>45701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IFERROR(__xludf.DUMMYFUNCTION("""COMPUTED_VALUE"""),"キリン")</f>
        <v>キリン</v>
      </c>
      <c r="C17" s="35" t="str">
        <f>IFERROR(__xludf.DUMMYFUNCTION("""COMPUTED_VALUE"""),"キリン")</f>
        <v>キリン</v>
      </c>
      <c r="D17" s="35" t="str">
        <f>IFERROR(__xludf.DUMMYFUNCTION("""COMPUTED_VALUE"""),"御殿場")</f>
        <v>御殿場</v>
      </c>
      <c r="E17" s="35" t="str">
        <f>IFERROR(__xludf.DUMMYFUNCTION("""COMPUTED_VALUE"""),"シングルブレンデッド")</f>
        <v>シングルブレンデッド</v>
      </c>
      <c r="F17" s="35"/>
      <c r="G17" s="35" t="str">
        <f>IFERROR(__xludf.DUMMYFUNCTION("""COMPUTED_VALUE"""),"富士 シングルブレンデッド 2022 マスターピース")</f>
        <v>富士 シングルブレンデッド 2022 マスターピース</v>
      </c>
      <c r="H17" s="35"/>
      <c r="I17" s="35"/>
      <c r="J17" s="35"/>
      <c r="K17" s="35"/>
      <c r="L17" s="35"/>
      <c r="M17" s="35"/>
      <c r="N17" s="36">
        <f>IFERROR(__xludf.DUMMYFUNCTION("""COMPUTED_VALUE"""),0.5)</f>
        <v>0.5</v>
      </c>
      <c r="O17" s="35"/>
      <c r="P17" s="37"/>
      <c r="Q17" s="37"/>
      <c r="R17" s="37">
        <f>IFERROR(__xludf.DUMMYFUNCTION("""COMPUTED_VALUE"""),2500.0)</f>
        <v>2500</v>
      </c>
      <c r="S17" s="38">
        <f>IFERROR(__xludf.DUMMYFUNCTION("""COMPUTED_VALUE"""),44900.0)</f>
        <v>44900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IFERROR(__xludf.DUMMYFUNCTION("""COMPUTED_VALUE"""),"キリン")</f>
        <v>キリン</v>
      </c>
      <c r="C18" s="35" t="str">
        <f>IFERROR(__xludf.DUMMYFUNCTION("""COMPUTED_VALUE"""),"キリン")</f>
        <v>キリン</v>
      </c>
      <c r="D18" s="35"/>
      <c r="E18" s="35" t="str">
        <f>IFERROR(__xludf.DUMMYFUNCTION("""COMPUTED_VALUE"""),"ブレンデッド")</f>
        <v>ブレンデッド</v>
      </c>
      <c r="F18" s="35"/>
      <c r="G18" s="35" t="str">
        <f>IFERROR(__xludf.DUMMYFUNCTION("""COMPUTED_VALUE"""),"富士山麓 シグネチャーブレンド")</f>
        <v>富士山麓 シグネチャーブレンド</v>
      </c>
      <c r="H18" s="35"/>
      <c r="I18" s="35"/>
      <c r="J18" s="35"/>
      <c r="K18" s="35"/>
      <c r="L18" s="35" t="str">
        <f>IFERROR(__xludf.DUMMYFUNCTION("""COMPUTED_VALUE"""),"✓")</f>
        <v>✓</v>
      </c>
      <c r="M18" s="35"/>
      <c r="N18" s="36">
        <f>IFERROR(__xludf.DUMMYFUNCTION("""COMPUTED_VALUE"""),0.5)</f>
        <v>0.5</v>
      </c>
      <c r="O18" s="35"/>
      <c r="P18" s="37">
        <f>IFERROR(__xludf.DUMMYFUNCTION("""COMPUTED_VALUE"""),1200.0)</f>
        <v>1200</v>
      </c>
      <c r="Q18" s="37">
        <f>IFERROR(__xludf.DUMMYFUNCTION("""COMPUTED_VALUE"""),700.0)</f>
        <v>700</v>
      </c>
      <c r="R18" s="37"/>
      <c r="S18" s="38"/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IFERROR(__xludf.DUMMYFUNCTION("""COMPUTED_VALUE"""),"キリン")</f>
        <v>キリン</v>
      </c>
      <c r="C19" s="35" t="str">
        <f>IFERROR(__xludf.DUMMYFUNCTION("""COMPUTED_VALUE"""),"キリン")</f>
        <v>キリン</v>
      </c>
      <c r="D19" s="35"/>
      <c r="E19" s="35" t="str">
        <f>IFERROR(__xludf.DUMMYFUNCTION("""COMPUTED_VALUE"""),"ブレンデッド")</f>
        <v>ブレンデッド</v>
      </c>
      <c r="F19" s="35"/>
      <c r="G19" s="35" t="str">
        <f>IFERROR(__xludf.DUMMYFUNCTION("""COMPUTED_VALUE"""),"富士山麓 樽熟 50°")</f>
        <v>富士山麓 樽熟 50°</v>
      </c>
      <c r="H19" s="35"/>
      <c r="I19" s="35"/>
      <c r="J19" s="35"/>
      <c r="K19" s="35"/>
      <c r="L19" s="35"/>
      <c r="M19" s="35"/>
      <c r="N19" s="36">
        <f>IFERROR(__xludf.DUMMYFUNCTION("""COMPUTED_VALUE"""),0.5)</f>
        <v>0.5</v>
      </c>
      <c r="O19" s="35"/>
      <c r="P19" s="37">
        <f>IFERROR(__xludf.DUMMYFUNCTION("""COMPUTED_VALUE"""),1400.0)</f>
        <v>1400</v>
      </c>
      <c r="Q19" s="37">
        <f>IFERROR(__xludf.DUMMYFUNCTION("""COMPUTED_VALUE"""),800.0)</f>
        <v>800</v>
      </c>
      <c r="R19" s="37"/>
      <c r="S19" s="38"/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IFERROR(__xludf.DUMMYFUNCTION("""COMPUTED_VALUE"""),"キリン")</f>
        <v>キリン</v>
      </c>
      <c r="C20" s="35" t="str">
        <f>IFERROR(__xludf.DUMMYFUNCTION("""COMPUTED_VALUE"""),"キリン")</f>
        <v>キリン</v>
      </c>
      <c r="D20" s="35"/>
      <c r="E20" s="35" t="str">
        <f>IFERROR(__xludf.DUMMYFUNCTION("""COMPUTED_VALUE"""),"ブレンデッド")</f>
        <v>ブレンデッド</v>
      </c>
      <c r="F20" s="35"/>
      <c r="G20" s="35" t="str">
        <f>IFERROR(__xludf.DUMMYFUNCTION("""COMPUTED_VALUE"""),"富士山麓 樽熟原酒 50°")</f>
        <v>富士山麓 樽熟原酒 50°</v>
      </c>
      <c r="H20" s="35"/>
      <c r="I20" s="35"/>
      <c r="J20" s="35"/>
      <c r="K20" s="35"/>
      <c r="L20" s="35"/>
      <c r="M20" s="35"/>
      <c r="N20" s="36">
        <f>IFERROR(__xludf.DUMMYFUNCTION("""COMPUTED_VALUE"""),0.5)</f>
        <v>0.5</v>
      </c>
      <c r="O20" s="35"/>
      <c r="P20" s="37">
        <f>IFERROR(__xludf.DUMMYFUNCTION("""COMPUTED_VALUE"""),1400.0)</f>
        <v>1400</v>
      </c>
      <c r="Q20" s="37">
        <f>IFERROR(__xludf.DUMMYFUNCTION("""COMPUTED_VALUE"""),800.0)</f>
        <v>800</v>
      </c>
      <c r="R20" s="37"/>
      <c r="S20" s="38"/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IFERROR(__xludf.DUMMYFUNCTION("""COMPUTED_VALUE"""),"キリン")</f>
        <v>キリン</v>
      </c>
      <c r="C21" s="35" t="str">
        <f>IFERROR(__xludf.DUMMYFUNCTION("""COMPUTED_VALUE"""),"キリン")</f>
        <v>キリン</v>
      </c>
      <c r="D21" s="35"/>
      <c r="E21" s="35" t="str">
        <f>IFERROR(__xludf.DUMMYFUNCTION("""COMPUTED_VALUE"""),"ブレンデッド")</f>
        <v>ブレンデッド</v>
      </c>
      <c r="F21" s="35"/>
      <c r="G21" s="35" t="str">
        <f>IFERROR(__xludf.DUMMYFUNCTION("""COMPUTED_VALUE"""),"富士山麓 18年 ブレンデッド 2016")</f>
        <v>富士山麓 18年 ブレンデッド 2016</v>
      </c>
      <c r="H21" s="35"/>
      <c r="I21" s="35"/>
      <c r="J21" s="35"/>
      <c r="K21" s="35"/>
      <c r="L21" s="35"/>
      <c r="M21" s="35"/>
      <c r="N21" s="36">
        <f>IFERROR(__xludf.DUMMYFUNCTION("""COMPUTED_VALUE"""),0.43)</f>
        <v>0.43</v>
      </c>
      <c r="O21" s="35"/>
      <c r="P21" s="37">
        <f>IFERROR(__xludf.DUMMYFUNCTION("""COMPUTED_VALUE"""),3500.0)</f>
        <v>3500</v>
      </c>
      <c r="Q21" s="37">
        <f>IFERROR(__xludf.DUMMYFUNCTION("""COMPUTED_VALUE"""),1900.0)</f>
        <v>1900</v>
      </c>
      <c r="R21" s="37"/>
      <c r="S21" s="38">
        <f>IFERROR(__xludf.DUMMYFUNCTION("""COMPUTED_VALUE"""),45192.0)</f>
        <v>45192</v>
      </c>
      <c r="T21" s="35"/>
      <c r="U21" s="35"/>
      <c r="V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IFERROR(__xludf.DUMMYFUNCTION("""COMPUTED_VALUE"""),"キリン")</f>
        <v>キリン</v>
      </c>
      <c r="C22" s="35" t="str">
        <f>IFERROR(__xludf.DUMMYFUNCTION("""COMPUTED_VALUE"""),"キリン")</f>
        <v>キリン</v>
      </c>
      <c r="D22" s="35"/>
      <c r="E22" s="35" t="str">
        <f>IFERROR(__xludf.DUMMYFUNCTION("""COMPUTED_VALUE"""),"ブレンデッド")</f>
        <v>ブレンデッド</v>
      </c>
      <c r="F22" s="35"/>
      <c r="G22" s="35" t="str">
        <f>IFERROR(__xludf.DUMMYFUNCTION("""COMPUTED_VALUE"""),"オークマスター 樽香る辛口ウイスキー")</f>
        <v>オークマスター 樽香る辛口ウイスキー</v>
      </c>
      <c r="H22" s="35"/>
      <c r="I22" s="35"/>
      <c r="J22" s="35"/>
      <c r="K22" s="35"/>
      <c r="L22" s="35"/>
      <c r="M22" s="35"/>
      <c r="N22" s="36">
        <f>IFERROR(__xludf.DUMMYFUNCTION("""COMPUTED_VALUE"""),0.37)</f>
        <v>0.37</v>
      </c>
      <c r="O22" s="35"/>
      <c r="P22" s="37">
        <f>IFERROR(__xludf.DUMMYFUNCTION("""COMPUTED_VALUE"""),1100.0)</f>
        <v>1100</v>
      </c>
      <c r="Q22" s="37">
        <f>IFERROR(__xludf.DUMMYFUNCTION("""COMPUTED_VALUE"""),650.0)</f>
        <v>650</v>
      </c>
      <c r="R22" s="37"/>
      <c r="S22" s="38"/>
      <c r="T22" s="35"/>
      <c r="U22" s="35"/>
      <c r="V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IFERROR(__xludf.DUMMYFUNCTION("""COMPUTED_VALUE"""),"キリン")</f>
        <v>キリン</v>
      </c>
      <c r="C23" s="35" t="str">
        <f>IFERROR(__xludf.DUMMYFUNCTION("""COMPUTED_VALUE"""),"キリン")</f>
        <v>キリン</v>
      </c>
      <c r="D23" s="35"/>
      <c r="E23" s="35" t="str">
        <f>IFERROR(__xludf.DUMMYFUNCTION("""COMPUTED_VALUE"""),"ブレンデッド")</f>
        <v>ブレンデッド</v>
      </c>
      <c r="F23" s="35"/>
      <c r="G23" s="35" t="str">
        <f>IFERROR(__xludf.DUMMYFUNCTION("""COMPUTED_VALUE"""),"薫風 2017")</f>
        <v>薫風 2017</v>
      </c>
      <c r="H23" s="35" t="str">
        <f>IFERROR(__xludf.DUMMYFUNCTION("""COMPUTED_VALUE"""),"for 酒やビック")</f>
        <v>for 酒やビック</v>
      </c>
      <c r="I23" s="35"/>
      <c r="J23" s="35"/>
      <c r="K23" s="35"/>
      <c r="L23" s="35"/>
      <c r="M23" s="35"/>
      <c r="N23" s="36">
        <f>IFERROR(__xludf.DUMMYFUNCTION("""COMPUTED_VALUE"""),0.4)</f>
        <v>0.4</v>
      </c>
      <c r="O23" s="35"/>
      <c r="P23" s="37">
        <f>IFERROR(__xludf.DUMMYFUNCTION("""COMPUTED_VALUE"""),1300.0)</f>
        <v>1300</v>
      </c>
      <c r="Q23" s="37">
        <f>IFERROR(__xludf.DUMMYFUNCTION("""COMPUTED_VALUE"""),750.0)</f>
        <v>750</v>
      </c>
      <c r="R23" s="37"/>
      <c r="S23" s="38"/>
      <c r="T23" s="35"/>
      <c r="U23" s="35"/>
      <c r="V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IFERROR(__xludf.DUMMYFUNCTION("""COMPUTED_VALUE"""),"キリン")</f>
        <v>キリン</v>
      </c>
      <c r="C24" s="35" t="str">
        <f>IFERROR(__xludf.DUMMYFUNCTION("""COMPUTED_VALUE"""),"キリン")</f>
        <v>キリン</v>
      </c>
      <c r="D24" s="35"/>
      <c r="E24" s="35" t="str">
        <f>IFERROR(__xludf.DUMMYFUNCTION("""COMPUTED_VALUE"""),"ブレンデッド")</f>
        <v>ブレンデッド</v>
      </c>
      <c r="F24" s="35"/>
      <c r="G24" s="35" t="str">
        <f>IFERROR(__xludf.DUMMYFUNCTION("""COMPUTED_VALUE"""),"陸")</f>
        <v>陸</v>
      </c>
      <c r="H24" s="35"/>
      <c r="I24" s="35"/>
      <c r="J24" s="35"/>
      <c r="K24" s="35"/>
      <c r="L24" s="35" t="str">
        <f>IFERROR(__xludf.DUMMYFUNCTION("""COMPUTED_VALUE"""),"✓")</f>
        <v>✓</v>
      </c>
      <c r="M24" s="35"/>
      <c r="N24" s="36">
        <f>IFERROR(__xludf.DUMMYFUNCTION("""COMPUTED_VALUE"""),0.5)</f>
        <v>0.5</v>
      </c>
      <c r="O24" s="35"/>
      <c r="P24" s="37">
        <f>IFERROR(__xludf.DUMMYFUNCTION("""COMPUTED_VALUE"""),1000.0)</f>
        <v>1000</v>
      </c>
      <c r="Q24" s="37">
        <f>IFERROR(__xludf.DUMMYFUNCTION("""COMPUTED_VALUE"""),600.0)</f>
        <v>600</v>
      </c>
      <c r="R24" s="37"/>
      <c r="S24" s="38"/>
      <c r="T24" s="35"/>
      <c r="U24" s="35"/>
      <c r="V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IFERROR(__xludf.DUMMYFUNCTION("""COMPUTED_VALUE"""),"キリンシーグラム")</f>
        <v>キリンシーグラム</v>
      </c>
      <c r="C25" s="35" t="str">
        <f>IFERROR(__xludf.DUMMYFUNCTION("""COMPUTED_VALUE"""),"キリンシーグラム")</f>
        <v>キリンシーグラム</v>
      </c>
      <c r="D25" s="35"/>
      <c r="E25" s="35" t="str">
        <f>IFERROR(__xludf.DUMMYFUNCTION("""COMPUTED_VALUE"""),"ブレンデッド")</f>
        <v>ブレンデッド</v>
      </c>
      <c r="F25" s="35"/>
      <c r="G25" s="35" t="str">
        <f>IFERROR(__xludf.DUMMYFUNCTION("""COMPUTED_VALUE"""),"BAR")</f>
        <v>BAR</v>
      </c>
      <c r="H25" s="35" t="str">
        <f>IFERROR(__xludf.DUMMYFUNCTION("""COMPUTED_VALUE"""),"特級酒")</f>
        <v>特級酒</v>
      </c>
      <c r="I25" s="35"/>
      <c r="J25" s="35"/>
      <c r="K25" s="35"/>
      <c r="L25" s="35"/>
      <c r="M25" s="35"/>
      <c r="N25" s="36">
        <f>IFERROR(__xludf.DUMMYFUNCTION("""COMPUTED_VALUE"""),0.43)</f>
        <v>0.43</v>
      </c>
      <c r="O25" s="35"/>
      <c r="P25" s="37">
        <f>IFERROR(__xludf.DUMMYFUNCTION("""COMPUTED_VALUE"""),1400.0)</f>
        <v>1400</v>
      </c>
      <c r="Q25" s="37">
        <f>IFERROR(__xludf.DUMMYFUNCTION("""COMPUTED_VALUE"""),800.0)</f>
        <v>800</v>
      </c>
      <c r="R25" s="37"/>
      <c r="S25" s="38">
        <f>IFERROR(__xludf.DUMMYFUNCTION("""COMPUTED_VALUE"""),45712.0)</f>
        <v>45712</v>
      </c>
      <c r="T25" s="35"/>
      <c r="U25" s="35"/>
      <c r="V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IFERROR(__xludf.DUMMYFUNCTION("""COMPUTED_VALUE"""),"キリンシーグラム")</f>
        <v>キリンシーグラム</v>
      </c>
      <c r="C26" s="35" t="str">
        <f>IFERROR(__xludf.DUMMYFUNCTION("""COMPUTED_VALUE"""),"キリンシーグラム")</f>
        <v>キリンシーグラム</v>
      </c>
      <c r="D26" s="35"/>
      <c r="E26" s="35" t="str">
        <f>IFERROR(__xludf.DUMMYFUNCTION("""COMPUTED_VALUE"""),"ブレンデッド")</f>
        <v>ブレンデッド</v>
      </c>
      <c r="F26" s="35"/>
      <c r="G26" s="35" t="str">
        <f>IFERROR(__xludf.DUMMYFUNCTION("""COMPUTED_VALUE"""),"エンブレム")</f>
        <v>エンブレム</v>
      </c>
      <c r="H26" s="35" t="str">
        <f>IFERROR(__xludf.DUMMYFUNCTION("""COMPUTED_VALUE"""),"特級酒")</f>
        <v>特級酒</v>
      </c>
      <c r="I26" s="35"/>
      <c r="J26" s="35"/>
      <c r="K26" s="35"/>
      <c r="L26" s="35"/>
      <c r="M26" s="35"/>
      <c r="N26" s="36">
        <f>IFERROR(__xludf.DUMMYFUNCTION("""COMPUTED_VALUE"""),0.43)</f>
        <v>0.43</v>
      </c>
      <c r="O26" s="35"/>
      <c r="P26" s="37">
        <f>IFERROR(__xludf.DUMMYFUNCTION("""COMPUTED_VALUE"""),1500.0)</f>
        <v>1500</v>
      </c>
      <c r="Q26" s="37">
        <f>IFERROR(__xludf.DUMMYFUNCTION("""COMPUTED_VALUE"""),850.0)</f>
        <v>850</v>
      </c>
      <c r="R26" s="37"/>
      <c r="S26" s="38"/>
      <c r="T26" s="35"/>
      <c r="U26" s="35"/>
      <c r="V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IFERROR(__xludf.DUMMYFUNCTION("""COMPUTED_VALUE"""),"キリンシーグラム")</f>
        <v>キリンシーグラム</v>
      </c>
      <c r="C27" s="35" t="str">
        <f>IFERROR(__xludf.DUMMYFUNCTION("""COMPUTED_VALUE"""),"キリンシーグラム")</f>
        <v>キリンシーグラム</v>
      </c>
      <c r="D27" s="35"/>
      <c r="E27" s="35" t="str">
        <f>IFERROR(__xludf.DUMMYFUNCTION("""COMPUTED_VALUE"""),"ブレンデッド")</f>
        <v>ブレンデッド</v>
      </c>
      <c r="F27" s="35"/>
      <c r="G27" s="35" t="str">
        <f>IFERROR(__xludf.DUMMYFUNCTION("""COMPUTED_VALUE"""),"クレセント")</f>
        <v>クレセント</v>
      </c>
      <c r="H27" s="35" t="str">
        <f>IFERROR(__xludf.DUMMYFUNCTION("""COMPUTED_VALUE"""),"特級酒")</f>
        <v>特級酒</v>
      </c>
      <c r="I27" s="35"/>
      <c r="J27" s="35"/>
      <c r="K27" s="35"/>
      <c r="L27" s="35"/>
      <c r="M27" s="35"/>
      <c r="N27" s="36">
        <f>IFERROR(__xludf.DUMMYFUNCTION("""COMPUTED_VALUE"""),0.43)</f>
        <v>0.43</v>
      </c>
      <c r="O27" s="35"/>
      <c r="P27" s="37">
        <f>IFERROR(__xludf.DUMMYFUNCTION("""COMPUTED_VALUE"""),1400.0)</f>
        <v>1400</v>
      </c>
      <c r="Q27" s="37">
        <f>IFERROR(__xludf.DUMMYFUNCTION("""COMPUTED_VALUE"""),800.0)</f>
        <v>800</v>
      </c>
      <c r="R27" s="37"/>
      <c r="S27" s="38">
        <f>IFERROR(__xludf.DUMMYFUNCTION("""COMPUTED_VALUE"""),45727.0)</f>
        <v>45727</v>
      </c>
      <c r="T27" s="35"/>
      <c r="U27" s="35"/>
      <c r="V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IFERROR(__xludf.DUMMYFUNCTION("""COMPUTED_VALUE"""),"キリンシーグラム")</f>
        <v>キリンシーグラム</v>
      </c>
      <c r="C28" s="35" t="str">
        <f>IFERROR(__xludf.DUMMYFUNCTION("""COMPUTED_VALUE"""),"キリンシーグラム")</f>
        <v>キリンシーグラム</v>
      </c>
      <c r="D28" s="35"/>
      <c r="E28" s="35" t="str">
        <f>IFERROR(__xludf.DUMMYFUNCTION("""COMPUTED_VALUE"""),"ブレンデッド")</f>
        <v>ブレンデッド</v>
      </c>
      <c r="F28" s="35"/>
      <c r="G28" s="35" t="str">
        <f>IFERROR(__xludf.DUMMYFUNCTION("""COMPUTED_VALUE"""),"サタデー 1")</f>
        <v>サタデー 1</v>
      </c>
      <c r="H28" s="35" t="str">
        <f>IFERROR(__xludf.DUMMYFUNCTION("""COMPUTED_VALUE"""),"1級酒")</f>
        <v>1級酒</v>
      </c>
      <c r="I28" s="35"/>
      <c r="J28" s="35"/>
      <c r="K28" s="35"/>
      <c r="L28" s="35"/>
      <c r="M28" s="35"/>
      <c r="N28" s="36">
        <f>IFERROR(__xludf.DUMMYFUNCTION("""COMPUTED_VALUE"""),0.4)</f>
        <v>0.4</v>
      </c>
      <c r="O28" s="35"/>
      <c r="P28" s="37">
        <f>IFERROR(__xludf.DUMMYFUNCTION("""COMPUTED_VALUE"""),1300.0)</f>
        <v>1300</v>
      </c>
      <c r="Q28" s="37">
        <f>IFERROR(__xludf.DUMMYFUNCTION("""COMPUTED_VALUE"""),750.0)</f>
        <v>750</v>
      </c>
      <c r="R28" s="37"/>
      <c r="S28" s="38">
        <f>IFERROR(__xludf.DUMMYFUNCTION("""COMPUTED_VALUE"""),45255.0)</f>
        <v>45255</v>
      </c>
      <c r="T28" s="35"/>
      <c r="U28" s="35"/>
      <c r="V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IFERROR(__xludf.DUMMYFUNCTION("""COMPUTED_VALUE"""),"キリンシーグラム")</f>
        <v>キリンシーグラム</v>
      </c>
      <c r="C29" s="35" t="str">
        <f>IFERROR(__xludf.DUMMYFUNCTION("""COMPUTED_VALUE"""),"キリンシーグラム")</f>
        <v>キリンシーグラム</v>
      </c>
      <c r="D29" s="35"/>
      <c r="E29" s="35" t="str">
        <f>IFERROR(__xludf.DUMMYFUNCTION("""COMPUTED_VALUE"""),"ブレンデッド")</f>
        <v>ブレンデッド</v>
      </c>
      <c r="F29" s="35"/>
      <c r="G29" s="35" t="str">
        <f>IFERROR(__xludf.DUMMYFUNCTION("""COMPUTED_VALUE"""),"サタデー 2")</f>
        <v>サタデー 2</v>
      </c>
      <c r="H29" s="35" t="str">
        <f>IFERROR(__xludf.DUMMYFUNCTION("""COMPUTED_VALUE"""),"1級酒")</f>
        <v>1級酒</v>
      </c>
      <c r="I29" s="35"/>
      <c r="J29" s="35"/>
      <c r="K29" s="35"/>
      <c r="L29" s="35"/>
      <c r="M29" s="35"/>
      <c r="N29" s="36">
        <f>IFERROR(__xludf.DUMMYFUNCTION("""COMPUTED_VALUE"""),0.43)</f>
        <v>0.43</v>
      </c>
      <c r="O29" s="35"/>
      <c r="P29" s="37">
        <f>IFERROR(__xludf.DUMMYFUNCTION("""COMPUTED_VALUE"""),1300.0)</f>
        <v>1300</v>
      </c>
      <c r="Q29" s="37">
        <f>IFERROR(__xludf.DUMMYFUNCTION("""COMPUTED_VALUE"""),750.0)</f>
        <v>750</v>
      </c>
      <c r="R29" s="37"/>
      <c r="S29" s="38">
        <f>IFERROR(__xludf.DUMMYFUNCTION("""COMPUTED_VALUE"""),45710.0)</f>
        <v>45710</v>
      </c>
      <c r="T29" s="35"/>
      <c r="U29" s="35"/>
      <c r="V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IFERROR(__xludf.DUMMYFUNCTION("""COMPUTED_VALUE"""),"キリンシーグラム")</f>
        <v>キリンシーグラム</v>
      </c>
      <c r="C30" s="35" t="str">
        <f>IFERROR(__xludf.DUMMYFUNCTION("""COMPUTED_VALUE"""),"キリンシーグラム")</f>
        <v>キリンシーグラム</v>
      </c>
      <c r="D30" s="35"/>
      <c r="E30" s="35" t="str">
        <f>IFERROR(__xludf.DUMMYFUNCTION("""COMPUTED_VALUE"""),"ブレンデッド")</f>
        <v>ブレンデッド</v>
      </c>
      <c r="F30" s="35"/>
      <c r="G30" s="35" t="str">
        <f>IFERROR(__xludf.DUMMYFUNCTION("""COMPUTED_VALUE"""),"ダンバー")</f>
        <v>ダンバー</v>
      </c>
      <c r="H30" s="35" t="str">
        <f>IFERROR(__xludf.DUMMYFUNCTION("""COMPUTED_VALUE"""),"1級酒")</f>
        <v>1級酒</v>
      </c>
      <c r="I30" s="35"/>
      <c r="J30" s="35"/>
      <c r="K30" s="35"/>
      <c r="L30" s="35"/>
      <c r="M30" s="35"/>
      <c r="N30" s="36">
        <f>IFERROR(__xludf.DUMMYFUNCTION("""COMPUTED_VALUE"""),0.42)</f>
        <v>0.42</v>
      </c>
      <c r="O30" s="35"/>
      <c r="P30" s="37">
        <f>IFERROR(__xludf.DUMMYFUNCTION("""COMPUTED_VALUE"""),1300.0)</f>
        <v>1300</v>
      </c>
      <c r="Q30" s="37">
        <f>IFERROR(__xludf.DUMMYFUNCTION("""COMPUTED_VALUE"""),750.0)</f>
        <v>750</v>
      </c>
      <c r="R30" s="37"/>
      <c r="S30" s="38">
        <f>IFERROR(__xludf.DUMMYFUNCTION("""COMPUTED_VALUE"""),45422.0)</f>
        <v>45422</v>
      </c>
      <c r="T30" s="35"/>
      <c r="U30" s="35"/>
      <c r="V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IFERROR(__xludf.DUMMYFUNCTION("""COMPUTED_VALUE"""),"キリンシーグラム")</f>
        <v>キリンシーグラム</v>
      </c>
      <c r="C31" s="35" t="str">
        <f>IFERROR(__xludf.DUMMYFUNCTION("""COMPUTED_VALUE"""),"キリンシーグラム")</f>
        <v>キリンシーグラム</v>
      </c>
      <c r="D31" s="35"/>
      <c r="E31" s="35" t="str">
        <f>IFERROR(__xludf.DUMMYFUNCTION("""COMPUTED_VALUE"""),"ブレンデッド")</f>
        <v>ブレンデッド</v>
      </c>
      <c r="F31" s="35"/>
      <c r="G31" s="35" t="str">
        <f>IFERROR(__xludf.DUMMYFUNCTION("""COMPUTED_VALUE"""),"ニュース")</f>
        <v>ニュース</v>
      </c>
      <c r="H31" s="35" t="str">
        <f>IFERROR(__xludf.DUMMYFUNCTION("""COMPUTED_VALUE"""),"1級酒")</f>
        <v>1級酒</v>
      </c>
      <c r="I31" s="35"/>
      <c r="J31" s="35"/>
      <c r="K31" s="35"/>
      <c r="L31" s="35"/>
      <c r="M31" s="35"/>
      <c r="N31" s="36">
        <f>IFERROR(__xludf.DUMMYFUNCTION("""COMPUTED_VALUE"""),0.4)</f>
        <v>0.4</v>
      </c>
      <c r="O31" s="35"/>
      <c r="P31" s="37">
        <f>IFERROR(__xludf.DUMMYFUNCTION("""COMPUTED_VALUE"""),1300.0)</f>
        <v>1300</v>
      </c>
      <c r="Q31" s="37">
        <f>IFERROR(__xludf.DUMMYFUNCTION("""COMPUTED_VALUE"""),750.0)</f>
        <v>750</v>
      </c>
      <c r="R31" s="37"/>
      <c r="S31" s="38">
        <f>IFERROR(__xludf.DUMMYFUNCTION("""COMPUTED_VALUE"""),45690.0)</f>
        <v>45690</v>
      </c>
      <c r="T31" s="35"/>
      <c r="U31" s="35"/>
      <c r="V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IFERROR(__xludf.DUMMYFUNCTION("""COMPUTED_VALUE"""),"キリンシーグラム")</f>
        <v>キリンシーグラム</v>
      </c>
      <c r="C32" s="35" t="str">
        <f>IFERROR(__xludf.DUMMYFUNCTION("""COMPUTED_VALUE"""),"キリンシーグラム")</f>
        <v>キリンシーグラム</v>
      </c>
      <c r="D32" s="35"/>
      <c r="E32" s="35" t="str">
        <f>IFERROR(__xludf.DUMMYFUNCTION("""COMPUTED_VALUE"""),"ブレンデッド")</f>
        <v>ブレンデッド</v>
      </c>
      <c r="F32" s="35"/>
      <c r="G32" s="35" t="str">
        <f>IFERROR(__xludf.DUMMYFUNCTION("""COMPUTED_VALUE"""),"ロバートブラウン")</f>
        <v>ロバートブラウン</v>
      </c>
      <c r="H32" s="35" t="str">
        <f>IFERROR(__xludf.DUMMYFUNCTION("""COMPUTED_VALUE"""),"特級酒")</f>
        <v>特級酒</v>
      </c>
      <c r="I32" s="35"/>
      <c r="J32" s="35"/>
      <c r="K32" s="35"/>
      <c r="L32" s="35"/>
      <c r="M32" s="35"/>
      <c r="N32" s="36">
        <f>IFERROR(__xludf.DUMMYFUNCTION("""COMPUTED_VALUE"""),0.43)</f>
        <v>0.43</v>
      </c>
      <c r="O32" s="35"/>
      <c r="P32" s="37">
        <f>IFERROR(__xludf.DUMMYFUNCTION("""COMPUTED_VALUE"""),1500.0)</f>
        <v>1500</v>
      </c>
      <c r="Q32" s="37">
        <f>IFERROR(__xludf.DUMMYFUNCTION("""COMPUTED_VALUE"""),850.0)</f>
        <v>850</v>
      </c>
      <c r="R32" s="37"/>
      <c r="S32" s="38"/>
      <c r="T32" s="35"/>
      <c r="U32" s="35"/>
      <c r="V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IFERROR(__xludf.DUMMYFUNCTION("""COMPUTED_VALUE"""),"キリンシーグラム")</f>
        <v>キリンシーグラム</v>
      </c>
      <c r="C33" s="35" t="str">
        <f>IFERROR(__xludf.DUMMYFUNCTION("""COMPUTED_VALUE"""),"キリンシーグラム")</f>
        <v>キリンシーグラム</v>
      </c>
      <c r="D33" s="35"/>
      <c r="E33" s="35" t="str">
        <f>IFERROR(__xludf.DUMMYFUNCTION("""COMPUTED_VALUE"""),"ブレンデッド")</f>
        <v>ブレンデッド</v>
      </c>
      <c r="F33" s="35"/>
      <c r="G33" s="35" t="str">
        <f>IFERROR(__xludf.DUMMYFUNCTION("""COMPUTED_VALUE"""),"ロバートブラウン ジュニア")</f>
        <v>ロバートブラウン ジュニア</v>
      </c>
      <c r="H33" s="35" t="str">
        <f>IFERROR(__xludf.DUMMYFUNCTION("""COMPUTED_VALUE"""),"1級酒")</f>
        <v>1級酒</v>
      </c>
      <c r="I33" s="35"/>
      <c r="J33" s="35"/>
      <c r="K33" s="35"/>
      <c r="L33" s="35"/>
      <c r="M33" s="35"/>
      <c r="N33" s="36">
        <f>IFERROR(__xludf.DUMMYFUNCTION("""COMPUTED_VALUE"""),0.4)</f>
        <v>0.4</v>
      </c>
      <c r="O33" s="35"/>
      <c r="P33" s="37">
        <f>IFERROR(__xludf.DUMMYFUNCTION("""COMPUTED_VALUE"""),1300.0)</f>
        <v>1300</v>
      </c>
      <c r="Q33" s="37">
        <f>IFERROR(__xludf.DUMMYFUNCTION("""COMPUTED_VALUE"""),750.0)</f>
        <v>750</v>
      </c>
      <c r="R33" s="37"/>
      <c r="S33" s="38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2.29"/>
    <col customWidth="1" min="3" max="3" width="12.29"/>
    <col customWidth="1" hidden="1" min="4" max="4" width="29.86"/>
    <col customWidth="1" min="5" max="5" width="29.86"/>
    <col customWidth="1" hidden="1" min="6" max="6" width="5.71"/>
    <col customWidth="1" min="7" max="7" width="67.14"/>
    <col customWidth="1" min="8" max="8" width="31.0"/>
    <col customWidth="1" hidden="1" min="9" max="9" width="6.29"/>
    <col customWidth="1" hidden="1" min="10" max="10" width="12.0"/>
    <col customWidth="1" hidden="1" min="11" max="11" width="5.71"/>
    <col customWidth="1" hidden="1" min="12" max="12" width="31.0"/>
    <col customWidth="1" hidden="1" min="13" max="13" width="31.71"/>
    <col customWidth="1" min="14" max="14" width="5.71"/>
    <col customWidth="1" hidden="1" min="15" max="15" width="31.71"/>
    <col customWidth="1" min="16" max="18" width="7.43"/>
    <col customWidth="1" min="19" max="19" width="12.0"/>
    <col customWidth="1" min="20" max="22" width="31.71"/>
  </cols>
  <sheetData>
    <row r="1">
      <c r="A1" s="33" t="s">
        <v>711</v>
      </c>
      <c r="T1" s="33"/>
      <c r="U1" s="33"/>
      <c r="V1" s="33"/>
    </row>
    <row r="2">
      <c r="A2" s="34" t="str">
        <f>IFERROR(__xludf.DUMMYFUNCTION("QUERY('全ウイスキー'!A:S, ""SELECT * WHERE B contains 'ベンチャー'"")"),"国")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IFERROR(__xludf.DUMMYFUNCTION("""COMPUTED_VALUE"""),"ベンチャー")</f>
        <v>ベンチャー</v>
      </c>
      <c r="C3" s="35" t="str">
        <f>IFERROR(__xludf.DUMMYFUNCTION("""COMPUTED_VALUE"""),"ベンチャー")</f>
        <v>ベンチャー</v>
      </c>
      <c r="D3" s="35" t="str">
        <f>IFERROR(__xludf.DUMMYFUNCTION("""COMPUTED_VALUE"""),"秩父")</f>
        <v>秩父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IFERROR(__xludf.DUMMYFUNCTION("""COMPUTED_VALUE"""),"#644")</f>
        <v>#644</v>
      </c>
      <c r="G3" s="35" t="str">
        <f>IFERROR(__xludf.DUMMYFUNCTION("""COMPUTED_VALUE"""),"イチローズモルト 干支ラベル(申)")</f>
        <v>イチローズモルト 干支ラベル(申)</v>
      </c>
      <c r="H3" s="35" t="str">
        <f>IFERROR(__xludf.DUMMYFUNCTION("""COMPUTED_VALUE"""),"for 高島屋")</f>
        <v>for 高島屋</v>
      </c>
      <c r="I3" s="35"/>
      <c r="J3" s="35" t="str">
        <f>IFERROR(__xludf.DUMMYFUNCTION("""COMPUTED_VALUE"""),"バーボン樽")</f>
        <v>バーボン樽</v>
      </c>
      <c r="K3" s="35" t="str">
        <f>IFERROR(__xludf.DUMMYFUNCTION("""COMPUTED_VALUE"""),"2010-?")</f>
        <v>2010-?</v>
      </c>
      <c r="L3" s="35"/>
      <c r="M3" s="35"/>
      <c r="N3" s="36">
        <f>IFERROR(__xludf.DUMMYFUNCTION("""COMPUTED_VALUE"""),0.597)</f>
        <v>0.597</v>
      </c>
      <c r="O3" s="35"/>
      <c r="P3" s="37">
        <f>IFERROR(__xludf.DUMMYFUNCTION("""COMPUTED_VALUE"""),3500.0)</f>
        <v>3500</v>
      </c>
      <c r="Q3" s="37">
        <f>IFERROR(__xludf.DUMMYFUNCTION("""COMPUTED_VALUE"""),1900.0)</f>
        <v>1900</v>
      </c>
      <c r="R3" s="37"/>
      <c r="S3" s="38"/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IFERROR(__xludf.DUMMYFUNCTION("""COMPUTED_VALUE"""),"ベンチャー")</f>
        <v>ベンチャー</v>
      </c>
      <c r="C4" s="35" t="str">
        <f>IFERROR(__xludf.DUMMYFUNCTION("""COMPUTED_VALUE"""),"ベンチャー")</f>
        <v>ベンチャー</v>
      </c>
      <c r="D4" s="35" t="str">
        <f>IFERROR(__xludf.DUMMYFUNCTION("""COMPUTED_VALUE"""),"秩父")</f>
        <v>秩父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IFERROR(__xludf.DUMMYFUNCTION("""COMPUTED_VALUE"""),"#2641")</f>
        <v>#2641</v>
      </c>
      <c r="G4" s="35" t="str">
        <f>IFERROR(__xludf.DUMMYFUNCTION("""COMPUTED_VALUE"""),"イチローズモルト 和柄ラベル 2010")</f>
        <v>イチローズモルト 和柄ラベル 2010</v>
      </c>
      <c r="H4" s="35" t="str">
        <f>IFERROR(__xludf.DUMMYFUNCTION("""COMPUTED_VALUE"""),"for 高島屋")</f>
        <v>for 高島屋</v>
      </c>
      <c r="I4" s="35"/>
      <c r="J4" s="35"/>
      <c r="K4" s="35" t="str">
        <f>IFERROR(__xludf.DUMMYFUNCTION("""COMPUTED_VALUE"""),"2010-?")</f>
        <v>2010-?</v>
      </c>
      <c r="L4" s="35"/>
      <c r="M4" s="35"/>
      <c r="N4" s="36">
        <f>IFERROR(__xludf.DUMMYFUNCTION("""COMPUTED_VALUE"""),0.59)</f>
        <v>0.59</v>
      </c>
      <c r="O4" s="35"/>
      <c r="P4" s="37">
        <f>IFERROR(__xludf.DUMMYFUNCTION("""COMPUTED_VALUE"""),3500.0)</f>
        <v>3500</v>
      </c>
      <c r="Q4" s="37">
        <f>IFERROR(__xludf.DUMMYFUNCTION("""COMPUTED_VALUE"""),1900.0)</f>
        <v>1900</v>
      </c>
      <c r="R4" s="37"/>
      <c r="S4" s="38">
        <f>IFERROR(__xludf.DUMMYFUNCTION("""COMPUTED_VALUE"""),44993.0)</f>
        <v>44993</v>
      </c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IFERROR(__xludf.DUMMYFUNCTION("""COMPUTED_VALUE"""),"ベンチャー")</f>
        <v>ベンチャー</v>
      </c>
      <c r="C5" s="35" t="str">
        <f>IFERROR(__xludf.DUMMYFUNCTION("""COMPUTED_VALUE"""),"ベンチャー")</f>
        <v>ベンチャー</v>
      </c>
      <c r="D5" s="35" t="str">
        <f>IFERROR(__xludf.DUMMYFUNCTION("""COMPUTED_VALUE"""),"秩父")</f>
        <v>秩父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IFERROR(__xludf.DUMMYFUNCTION("""COMPUTED_VALUE"""),"#657")</f>
        <v>#657</v>
      </c>
      <c r="G5" s="35" t="str">
        <f>IFERROR(__xludf.DUMMYFUNCTION("""COMPUTED_VALUE"""),"イチローズモルト秩父 MDC 4年")</f>
        <v>イチローズモルト秩父 MDC 4年</v>
      </c>
      <c r="H5" s="35" t="str">
        <f>IFERROR(__xludf.DUMMYFUNCTION("""COMPUTED_VALUE"""),"for BAR BARNS")</f>
        <v>for BAR BARNS</v>
      </c>
      <c r="I5" s="35"/>
      <c r="J5" s="35" t="str">
        <f>IFERROR(__xludf.DUMMYFUNCTION("""COMPUTED_VALUE"""),"バーボン樽")</f>
        <v>バーボン樽</v>
      </c>
      <c r="K5" s="35" t="str">
        <f>IFERROR(__xludf.DUMMYFUNCTION("""COMPUTED_VALUE"""),"2010.1-2014.3")</f>
        <v>2010.1-2014.3</v>
      </c>
      <c r="L5" s="35"/>
      <c r="M5" s="35"/>
      <c r="N5" s="36">
        <f>IFERROR(__xludf.DUMMYFUNCTION("""COMPUTED_VALUE"""),0.621)</f>
        <v>0.621</v>
      </c>
      <c r="O5" s="35">
        <f>IFERROR(__xludf.DUMMYFUNCTION("""COMPUTED_VALUE"""),227.0)</f>
        <v>227</v>
      </c>
      <c r="P5" s="37">
        <f>IFERROR(__xludf.DUMMYFUNCTION("""COMPUTED_VALUE"""),3000.0)</f>
        <v>3000</v>
      </c>
      <c r="Q5" s="37">
        <f>IFERROR(__xludf.DUMMYFUNCTION("""COMPUTED_VALUE"""),1600.0)</f>
        <v>1600</v>
      </c>
      <c r="R5" s="37"/>
      <c r="S5" s="38">
        <f>IFERROR(__xludf.DUMMYFUNCTION("""COMPUTED_VALUE"""),44980.0)</f>
        <v>44980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IFERROR(__xludf.DUMMYFUNCTION("""COMPUTED_VALUE"""),"ベンチャー")</f>
        <v>ベンチャー</v>
      </c>
      <c r="C6" s="35" t="str">
        <f>IFERROR(__xludf.DUMMYFUNCTION("""COMPUTED_VALUE"""),"ベンチャー")</f>
        <v>ベンチャー</v>
      </c>
      <c r="D6" s="35" t="str">
        <f>IFERROR(__xludf.DUMMYFUNCTION("""COMPUTED_VALUE"""),"秩父")</f>
        <v>秩父</v>
      </c>
      <c r="E6" s="35" t="str">
        <f>IFERROR(__xludf.DUMMYFUNCTION("""COMPUTED_VALUE"""),"シングルカスク")</f>
        <v>シングルカスク</v>
      </c>
      <c r="F6" s="35" t="str">
        <f>IFERROR(__xludf.DUMMYFUNCTION("""COMPUTED_VALUE"""),"#659")</f>
        <v>#659</v>
      </c>
      <c r="G6" s="35" t="str">
        <f>IFERROR(__xludf.DUMMYFUNCTION("""COMPUTED_VALUE"""),"イチローズモルト秩父 MDC 4年")</f>
        <v>イチローズモルト秩父 MDC 4年</v>
      </c>
      <c r="H6" s="35" t="str">
        <f>IFERROR(__xludf.DUMMYFUNCTION("""COMPUTED_VALUE"""),"for シルバーシール")</f>
        <v>for シルバーシール</v>
      </c>
      <c r="I6" s="35"/>
      <c r="J6" s="35" t="str">
        <f>IFERROR(__xludf.DUMMYFUNCTION("""COMPUTED_VALUE"""),"バーボン樽")</f>
        <v>バーボン樽</v>
      </c>
      <c r="K6" s="35" t="str">
        <f>IFERROR(__xludf.DUMMYFUNCTION("""COMPUTED_VALUE"""),"2010.1-2014.2")</f>
        <v>2010.1-2014.2</v>
      </c>
      <c r="L6" s="35"/>
      <c r="M6" s="35"/>
      <c r="N6" s="36">
        <f>IFERROR(__xludf.DUMMYFUNCTION("""COMPUTED_VALUE"""),0.624)</f>
        <v>0.624</v>
      </c>
      <c r="O6" s="35">
        <f>IFERROR(__xludf.DUMMYFUNCTION("""COMPUTED_VALUE"""),239.0)</f>
        <v>239</v>
      </c>
      <c r="P6" s="37">
        <f>IFERROR(__xludf.DUMMYFUNCTION("""COMPUTED_VALUE"""),3000.0)</f>
        <v>3000</v>
      </c>
      <c r="Q6" s="37">
        <f>IFERROR(__xludf.DUMMYFUNCTION("""COMPUTED_VALUE"""),1600.0)</f>
        <v>1600</v>
      </c>
      <c r="R6" s="37"/>
      <c r="S6" s="38">
        <f>IFERROR(__xludf.DUMMYFUNCTION("""COMPUTED_VALUE"""),45460.0)</f>
        <v>45460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IFERROR(__xludf.DUMMYFUNCTION("""COMPUTED_VALUE"""),"ベンチャー")</f>
        <v>ベンチャー</v>
      </c>
      <c r="C7" s="35" t="str">
        <f>IFERROR(__xludf.DUMMYFUNCTION("""COMPUTED_VALUE"""),"ベンチャー")</f>
        <v>ベンチャー</v>
      </c>
      <c r="D7" s="35" t="str">
        <f>IFERROR(__xludf.DUMMYFUNCTION("""COMPUTED_VALUE"""),"秩父")</f>
        <v>秩父</v>
      </c>
      <c r="E7" s="35" t="str">
        <f>IFERROR(__xludf.DUMMYFUNCTION("""COMPUTED_VALUE"""),"シングルカスク")</f>
        <v>シングルカスク</v>
      </c>
      <c r="F7" s="35" t="str">
        <f>IFERROR(__xludf.DUMMYFUNCTION("""COMPUTED_VALUE"""),"#207")</f>
        <v>#207</v>
      </c>
      <c r="G7" s="35" t="str">
        <f>IFERROR(__xludf.DUMMYFUNCTION("""COMPUTED_VALUE"""),"イチローズモルト秩父 MDC 5年")</f>
        <v>イチローズモルト秩父 MDC 5年</v>
      </c>
      <c r="H7" s="35" t="str">
        <f>IFERROR(__xludf.DUMMYFUNCTION("""COMPUTED_VALUE"""),"魔女")</f>
        <v>魔女</v>
      </c>
      <c r="I7" s="35"/>
      <c r="J7" s="35" t="str">
        <f>IFERROR(__xludf.DUMMYFUNCTION("""COMPUTED_VALUE"""),"バーボン樽")</f>
        <v>バーボン樽</v>
      </c>
      <c r="K7" s="35" t="str">
        <f>IFERROR(__xludf.DUMMYFUNCTION("""COMPUTED_VALUE"""),"2008.12-2014.3")</f>
        <v>2008.12-2014.3</v>
      </c>
      <c r="L7" s="35"/>
      <c r="M7" s="35"/>
      <c r="N7" s="36">
        <f>IFERROR(__xludf.DUMMYFUNCTION("""COMPUTED_VALUE"""),0.62)</f>
        <v>0.62</v>
      </c>
      <c r="O7" s="35">
        <f>IFERROR(__xludf.DUMMYFUNCTION("""COMPUTED_VALUE"""),221.0)</f>
        <v>221</v>
      </c>
      <c r="P7" s="37">
        <f>IFERROR(__xludf.DUMMYFUNCTION("""COMPUTED_VALUE"""),3000.0)</f>
        <v>3000</v>
      </c>
      <c r="Q7" s="37">
        <f>IFERROR(__xludf.DUMMYFUNCTION("""COMPUTED_VALUE"""),1600.0)</f>
        <v>1600</v>
      </c>
      <c r="R7" s="37"/>
      <c r="S7" s="38">
        <f>IFERROR(__xludf.DUMMYFUNCTION("""COMPUTED_VALUE"""),45456.0)</f>
        <v>45456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IFERROR(__xludf.DUMMYFUNCTION("""COMPUTED_VALUE"""),"ベンチャー")</f>
        <v>ベンチャー</v>
      </c>
      <c r="C8" s="35" t="str">
        <f>IFERROR(__xludf.DUMMYFUNCTION("""COMPUTED_VALUE"""),"ベンチャー")</f>
        <v>ベンチャー</v>
      </c>
      <c r="D8" s="35" t="str">
        <f>IFERROR(__xludf.DUMMYFUNCTION("""COMPUTED_VALUE"""),"秩父")</f>
        <v>秩父</v>
      </c>
      <c r="E8" s="35" t="str">
        <f>IFERROR(__xludf.DUMMYFUNCTION("""COMPUTED_VALUE"""),"シングルカスク")</f>
        <v>シングルカスク</v>
      </c>
      <c r="F8" s="35" t="str">
        <f>IFERROR(__xludf.DUMMYFUNCTION("""COMPUTED_VALUE"""),"#198")</f>
        <v>#198</v>
      </c>
      <c r="G8" s="35" t="str">
        <f>IFERROR(__xludf.DUMMYFUNCTION("""COMPUTED_VALUE"""),"イチローズモルト秩父 MDC 6年")</f>
        <v>イチローズモルト秩父 MDC 6年</v>
      </c>
      <c r="H8" s="35" t="str">
        <f>IFERROR(__xludf.DUMMYFUNCTION("""COMPUTED_VALUE"""),"for 紀伊國屋酒店")</f>
        <v>for 紀伊國屋酒店</v>
      </c>
      <c r="I8" s="35"/>
      <c r="J8" s="35" t="str">
        <f>IFERROR(__xludf.DUMMYFUNCTION("""COMPUTED_VALUE"""),"バーボン樽")</f>
        <v>バーボン樽</v>
      </c>
      <c r="K8" s="35" t="str">
        <f>IFERROR(__xludf.DUMMYFUNCTION("""COMPUTED_VALUE"""),"2008.12-2015.1")</f>
        <v>2008.12-2015.1</v>
      </c>
      <c r="L8" s="35"/>
      <c r="M8" s="35"/>
      <c r="N8" s="36">
        <f>IFERROR(__xludf.DUMMYFUNCTION("""COMPUTED_VALUE"""),0.62)</f>
        <v>0.62</v>
      </c>
      <c r="O8" s="35">
        <f>IFERROR(__xludf.DUMMYFUNCTION("""COMPUTED_VALUE"""),213.0)</f>
        <v>213</v>
      </c>
      <c r="P8" s="37">
        <f>IFERROR(__xludf.DUMMYFUNCTION("""COMPUTED_VALUE"""),3500.0)</f>
        <v>3500</v>
      </c>
      <c r="Q8" s="37">
        <f>IFERROR(__xludf.DUMMYFUNCTION("""COMPUTED_VALUE"""),1900.0)</f>
        <v>1900</v>
      </c>
      <c r="R8" s="37"/>
      <c r="S8" s="38">
        <f>IFERROR(__xludf.DUMMYFUNCTION("""COMPUTED_VALUE"""),45462.0)</f>
        <v>45462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IFERROR(__xludf.DUMMYFUNCTION("""COMPUTED_VALUE"""),"ベンチャー")</f>
        <v>ベンチャー</v>
      </c>
      <c r="C9" s="35" t="str">
        <f>IFERROR(__xludf.DUMMYFUNCTION("""COMPUTED_VALUE"""),"ベンチャー")</f>
        <v>ベンチャー</v>
      </c>
      <c r="D9" s="35" t="str">
        <f>IFERROR(__xludf.DUMMYFUNCTION("""COMPUTED_VALUE"""),"秩父")</f>
        <v>秩父</v>
      </c>
      <c r="E9" s="35" t="str">
        <f>IFERROR(__xludf.DUMMYFUNCTION("""COMPUTED_VALUE"""),"シングルカスク")</f>
        <v>シングルカスク</v>
      </c>
      <c r="F9" s="35" t="str">
        <f>IFERROR(__xludf.DUMMYFUNCTION("""COMPUTED_VALUE"""),"#188")</f>
        <v>#188</v>
      </c>
      <c r="G9" s="35" t="str">
        <f>IFERROR(__xludf.DUMMYFUNCTION("""COMPUTED_VALUE"""),"イチローズモルト秩父 MDC 6年")</f>
        <v>イチローズモルト秩父 MDC 6年</v>
      </c>
      <c r="H9" s="35" t="str">
        <f>IFERROR(__xludf.DUMMYFUNCTION("""COMPUTED_VALUE"""),"for 芹沢酒店")</f>
        <v>for 芹沢酒店</v>
      </c>
      <c r="I9" s="35"/>
      <c r="J9" s="35" t="str">
        <f>IFERROR(__xludf.DUMMYFUNCTION("""COMPUTED_VALUE"""),"バーボン樽")</f>
        <v>バーボン樽</v>
      </c>
      <c r="K9" s="35" t="str">
        <f>IFERROR(__xludf.DUMMYFUNCTION("""COMPUTED_VALUE"""),"2008.12-2015.3")</f>
        <v>2008.12-2015.3</v>
      </c>
      <c r="L9" s="35"/>
      <c r="M9" s="35"/>
      <c r="N9" s="36">
        <f>IFERROR(__xludf.DUMMYFUNCTION("""COMPUTED_VALUE"""),0.624)</f>
        <v>0.624</v>
      </c>
      <c r="O9" s="35">
        <f>IFERROR(__xludf.DUMMYFUNCTION("""COMPUTED_VALUE"""),205.0)</f>
        <v>205</v>
      </c>
      <c r="P9" s="37">
        <f>IFERROR(__xludf.DUMMYFUNCTION("""COMPUTED_VALUE"""),3500.0)</f>
        <v>3500</v>
      </c>
      <c r="Q9" s="37">
        <f>IFERROR(__xludf.DUMMYFUNCTION("""COMPUTED_VALUE"""),1900.0)</f>
        <v>1900</v>
      </c>
      <c r="R9" s="37"/>
      <c r="S9" s="38">
        <f>IFERROR(__xludf.DUMMYFUNCTION("""COMPUTED_VALUE"""),45464.0)</f>
        <v>45464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IFERROR(__xludf.DUMMYFUNCTION("""COMPUTED_VALUE"""),"ベンチャー")</f>
        <v>ベンチャー</v>
      </c>
      <c r="C10" s="35" t="str">
        <f>IFERROR(__xludf.DUMMYFUNCTION("""COMPUTED_VALUE"""),"ベンチャー")</f>
        <v>ベンチャー</v>
      </c>
      <c r="D10" s="35" t="str">
        <f>IFERROR(__xludf.DUMMYFUNCTION("""COMPUTED_VALUE"""),"秩父")</f>
        <v>秩父</v>
      </c>
      <c r="E10" s="35" t="str">
        <f>IFERROR(__xludf.DUMMYFUNCTION("""COMPUTED_VALUE"""),"シングルカスク")</f>
        <v>シングルカスク</v>
      </c>
      <c r="F10" s="35" t="str">
        <f>IFERROR(__xludf.DUMMYFUNCTION("""COMPUTED_VALUE"""),"#200")</f>
        <v>#200</v>
      </c>
      <c r="G10" s="35" t="str">
        <f>IFERROR(__xludf.DUMMYFUNCTION("""COMPUTED_VALUE"""),"イチローズモルト秩父 MDC 7年")</f>
        <v>イチローズモルト秩父 MDC 7年</v>
      </c>
      <c r="H10" s="35" t="str">
        <f>IFERROR(__xludf.DUMMYFUNCTION("""COMPUTED_VALUE"""),"for 武蔵屋")</f>
        <v>for 武蔵屋</v>
      </c>
      <c r="I10" s="35"/>
      <c r="J10" s="35" t="str">
        <f>IFERROR(__xludf.DUMMYFUNCTION("""COMPUTED_VALUE"""),"バーボン樽")</f>
        <v>バーボン樽</v>
      </c>
      <c r="K10" s="35" t="str">
        <f>IFERROR(__xludf.DUMMYFUNCTION("""COMPUTED_VALUE"""),"2008.12-2016.6")</f>
        <v>2008.12-2016.6</v>
      </c>
      <c r="L10" s="35"/>
      <c r="M10" s="35"/>
      <c r="N10" s="36">
        <f>IFERROR(__xludf.DUMMYFUNCTION("""COMPUTED_VALUE"""),0.618)</f>
        <v>0.618</v>
      </c>
      <c r="O10" s="35">
        <f>IFERROR(__xludf.DUMMYFUNCTION("""COMPUTED_VALUE"""),194.0)</f>
        <v>194</v>
      </c>
      <c r="P10" s="37">
        <f>IFERROR(__xludf.DUMMYFUNCTION("""COMPUTED_VALUE"""),3500.0)</f>
        <v>3500</v>
      </c>
      <c r="Q10" s="37">
        <f>IFERROR(__xludf.DUMMYFUNCTION("""COMPUTED_VALUE"""),1900.0)</f>
        <v>1900</v>
      </c>
      <c r="R10" s="37"/>
      <c r="S10" s="38">
        <f>IFERROR(__xludf.DUMMYFUNCTION("""COMPUTED_VALUE"""),45465.0)</f>
        <v>45465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IFERROR(__xludf.DUMMYFUNCTION("""COMPUTED_VALUE"""),"ベンチャー")</f>
        <v>ベンチャー</v>
      </c>
      <c r="C11" s="35" t="str">
        <f>IFERROR(__xludf.DUMMYFUNCTION("""COMPUTED_VALUE"""),"ベンチャー")</f>
        <v>ベンチャー</v>
      </c>
      <c r="D11" s="35" t="str">
        <f>IFERROR(__xludf.DUMMYFUNCTION("""COMPUTED_VALUE"""),"秩父")</f>
        <v>秩父</v>
      </c>
      <c r="E11" s="35" t="str">
        <f>IFERROR(__xludf.DUMMYFUNCTION("""COMPUTED_VALUE"""),"シングルカスク")</f>
        <v>シングルカスク</v>
      </c>
      <c r="F11" s="35" t="str">
        <f>IFERROR(__xludf.DUMMYFUNCTION("""COMPUTED_VALUE"""),"#14569")</f>
        <v>#14569</v>
      </c>
      <c r="G11" s="35" t="str">
        <f>IFERROR(__xludf.DUMMYFUNCTION("""COMPUTED_VALUE"""),"イチローズモルト秩父 SERIZAWA100th. Anniversary")</f>
        <v>イチローズモルト秩父 SERIZAWA100th. Anniversary</v>
      </c>
      <c r="H11" s="35" t="str">
        <f>IFERROR(__xludf.DUMMYFUNCTION("""COMPUTED_VALUE"""),"for 芹沢酒店")</f>
        <v>for 芹沢酒店</v>
      </c>
      <c r="I11" s="35"/>
      <c r="J11" s="35" t="str">
        <f>IFERROR(__xludf.DUMMYFUNCTION("""COMPUTED_VALUE"""),"シェリー樽")</f>
        <v>シェリー樽</v>
      </c>
      <c r="K11" s="35" t="str">
        <f>IFERROR(__xludf.DUMMYFUNCTION("""COMPUTED_VALUE"""),"2017-2024")</f>
        <v>2017-2024</v>
      </c>
      <c r="L11" s="35"/>
      <c r="M11" s="35"/>
      <c r="N11" s="36">
        <f>IFERROR(__xludf.DUMMYFUNCTION("""COMPUTED_VALUE"""),0.64)</f>
        <v>0.64</v>
      </c>
      <c r="O11" s="35">
        <f>IFERROR(__xludf.DUMMYFUNCTION("""COMPUTED_VALUE"""),274.0)</f>
        <v>274</v>
      </c>
      <c r="P11" s="37">
        <f>IFERROR(__xludf.DUMMYFUNCTION("""COMPUTED_VALUE"""),4000.0)</f>
        <v>4000</v>
      </c>
      <c r="Q11" s="37">
        <f>IFERROR(__xludf.DUMMYFUNCTION("""COMPUTED_VALUE"""),2200.0)</f>
        <v>2200</v>
      </c>
      <c r="R11" s="37"/>
      <c r="S11" s="38">
        <f>IFERROR(__xludf.DUMMYFUNCTION("""COMPUTED_VALUE"""),45663.0)</f>
        <v>45663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IFERROR(__xludf.DUMMYFUNCTION("""COMPUTED_VALUE"""),"ベンチャー")</f>
        <v>ベンチャー</v>
      </c>
      <c r="C12" s="35" t="str">
        <f>IFERROR(__xludf.DUMMYFUNCTION("""COMPUTED_VALUE"""),"ベンチャー")</f>
        <v>ベンチャー</v>
      </c>
      <c r="D12" s="35" t="str">
        <f>IFERROR(__xludf.DUMMYFUNCTION("""COMPUTED_VALUE"""),"秩父")</f>
        <v>秩父</v>
      </c>
      <c r="E12" s="35" t="str">
        <f>IFERROR(__xludf.DUMMYFUNCTION("""COMPUTED_VALUE"""),"シングルカスク")</f>
        <v>シングルカスク</v>
      </c>
      <c r="F12" s="35" t="str">
        <f>IFERROR(__xludf.DUMMYFUNCTION("""COMPUTED_VALUE"""),"#4426")</f>
        <v>#4426</v>
      </c>
      <c r="G12" s="35" t="str">
        <f>IFERROR(__xludf.DUMMYFUNCTION("""COMPUTED_VALUE"""),"イチローズモルト秩父 ニホンライチョウ")</f>
        <v>イチローズモルト秩父 ニホンライチョウ</v>
      </c>
      <c r="H12" s="35" t="str">
        <f>IFERROR(__xludf.DUMMYFUNCTION("""COMPUTED_VALUE"""),"for ウイスキートーク福岡2021")</f>
        <v>for ウイスキートーク福岡2021</v>
      </c>
      <c r="I12" s="35"/>
      <c r="J12" s="35" t="str">
        <f>IFERROR(__xludf.DUMMYFUNCTION("""COMPUTED_VALUE"""),"バーボン樽")</f>
        <v>バーボン樽</v>
      </c>
      <c r="K12" s="35" t="str">
        <f>IFERROR(__xludf.DUMMYFUNCTION("""COMPUTED_VALUE"""),"2015-2021")</f>
        <v>2015-2021</v>
      </c>
      <c r="L12" s="35"/>
      <c r="M12" s="35"/>
      <c r="N12" s="36">
        <f>IFERROR(__xludf.DUMMYFUNCTION("""COMPUTED_VALUE"""),0.63)</f>
        <v>0.63</v>
      </c>
      <c r="O12" s="35">
        <f>IFERROR(__xludf.DUMMYFUNCTION("""COMPUTED_VALUE"""),216.0)</f>
        <v>216</v>
      </c>
      <c r="P12" s="37">
        <f>IFERROR(__xludf.DUMMYFUNCTION("""COMPUTED_VALUE"""),3500.0)</f>
        <v>3500</v>
      </c>
      <c r="Q12" s="37">
        <f>IFERROR(__xludf.DUMMYFUNCTION("""COMPUTED_VALUE"""),1900.0)</f>
        <v>1900</v>
      </c>
      <c r="R12" s="37"/>
      <c r="S12" s="38">
        <f>IFERROR(__xludf.DUMMYFUNCTION("""COMPUTED_VALUE"""),44967.0)</f>
        <v>44967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IFERROR(__xludf.DUMMYFUNCTION("""COMPUTED_VALUE"""),"ベンチャー")</f>
        <v>ベンチャー</v>
      </c>
      <c r="C13" s="35" t="str">
        <f>IFERROR(__xludf.DUMMYFUNCTION("""COMPUTED_VALUE"""),"ベンチャー")</f>
        <v>ベンチャー</v>
      </c>
      <c r="D13" s="35" t="str">
        <f>IFERROR(__xludf.DUMMYFUNCTION("""COMPUTED_VALUE"""),"秩父")</f>
        <v>秩父</v>
      </c>
      <c r="E13" s="35" t="str">
        <f>IFERROR(__xludf.DUMMYFUNCTION("""COMPUTED_VALUE"""),"シングルカスク")</f>
        <v>シングルカスク</v>
      </c>
      <c r="F13" s="35" t="str">
        <f>IFERROR(__xludf.DUMMYFUNCTION("""COMPUTED_VALUE"""),"#7199")</f>
        <v>#7199</v>
      </c>
      <c r="G13" s="35" t="str">
        <f>IFERROR(__xludf.DUMMYFUNCTION("""COMPUTED_VALUE"""),"イチローズモルト秩父 ラッコ")</f>
        <v>イチローズモルト秩父 ラッコ</v>
      </c>
      <c r="H13" s="35" t="str">
        <f>IFERROR(__xludf.DUMMYFUNCTION("""COMPUTED_VALUE"""),"for ウイスキートーク福岡2022")</f>
        <v>for ウイスキートーク福岡2022</v>
      </c>
      <c r="I13" s="35"/>
      <c r="J13" s="35" t="str">
        <f>IFERROR(__xludf.DUMMYFUNCTION("""COMPUTED_VALUE"""),"ブルゴーニュワイン樽")</f>
        <v>ブルゴーニュワイン樽</v>
      </c>
      <c r="K13" s="35" t="str">
        <f>IFERROR(__xludf.DUMMYFUNCTION("""COMPUTED_VALUE"""),"2016-2022")</f>
        <v>2016-2022</v>
      </c>
      <c r="L13" s="35"/>
      <c r="M13" s="35"/>
      <c r="N13" s="36">
        <f>IFERROR(__xludf.DUMMYFUNCTION("""COMPUTED_VALUE"""),0.62)</f>
        <v>0.62</v>
      </c>
      <c r="O13" s="35">
        <f>IFERROR(__xludf.DUMMYFUNCTION("""COMPUTED_VALUE"""),259.0)</f>
        <v>259</v>
      </c>
      <c r="P13" s="37">
        <f>IFERROR(__xludf.DUMMYFUNCTION("""COMPUTED_VALUE"""),3500.0)</f>
        <v>3500</v>
      </c>
      <c r="Q13" s="37">
        <f>IFERROR(__xludf.DUMMYFUNCTION("""COMPUTED_VALUE"""),1900.0)</f>
        <v>1900</v>
      </c>
      <c r="R13" s="37"/>
      <c r="S13" s="38">
        <f>IFERROR(__xludf.DUMMYFUNCTION("""COMPUTED_VALUE"""),44968.0)</f>
        <v>44968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IFERROR(__xludf.DUMMYFUNCTION("""COMPUTED_VALUE"""),"ベンチャー")</f>
        <v>ベンチャー</v>
      </c>
      <c r="C14" s="35" t="str">
        <f>IFERROR(__xludf.DUMMYFUNCTION("""COMPUTED_VALUE"""),"ベンチャー")</f>
        <v>ベンチャー</v>
      </c>
      <c r="D14" s="35" t="str">
        <f>IFERROR(__xludf.DUMMYFUNCTION("""COMPUTED_VALUE"""),"秩父")</f>
        <v>秩父</v>
      </c>
      <c r="E14" s="35" t="str">
        <f>IFERROR(__xludf.DUMMYFUNCTION("""COMPUTED_VALUE"""),"シングルカスク")</f>
        <v>シングルカスク</v>
      </c>
      <c r="F14" s="35" t="str">
        <f>IFERROR(__xludf.DUMMYFUNCTION("""COMPUTED_VALUE"""),"#23")</f>
        <v>#23</v>
      </c>
      <c r="G14" s="35" t="str">
        <f>IFERROR(__xludf.DUMMYFUNCTION("""COMPUTED_VALUE"""),"イチローズモルト秩父 ニューボーン")</f>
        <v>イチローズモルト秩父 ニューボーン</v>
      </c>
      <c r="H14" s="35"/>
      <c r="I14" s="35"/>
      <c r="J14" s="35" t="str">
        <f>IFERROR(__xludf.DUMMYFUNCTION("""COMPUTED_VALUE"""),"ホグスヘッド新樽")</f>
        <v>ホグスヘッド新樽</v>
      </c>
      <c r="K14" s="35" t="str">
        <f>IFERROR(__xludf.DUMMYFUNCTION("""COMPUTED_VALUE"""),"2008.4-2008.10")</f>
        <v>2008.4-2008.10</v>
      </c>
      <c r="L14" s="35"/>
      <c r="M14" s="35"/>
      <c r="N14" s="36">
        <f>IFERROR(__xludf.DUMMYFUNCTION("""COMPUTED_VALUE"""),0.629)</f>
        <v>0.629</v>
      </c>
      <c r="O14" s="35">
        <f>IFERROR(__xludf.DUMMYFUNCTION("""COMPUTED_VALUE"""),357.0)</f>
        <v>357</v>
      </c>
      <c r="P14" s="37">
        <f>IFERROR(__xludf.DUMMYFUNCTION("""COMPUTED_VALUE"""),2000.0)</f>
        <v>2000</v>
      </c>
      <c r="Q14" s="37">
        <f>IFERROR(__xludf.DUMMYFUNCTION("""COMPUTED_VALUE"""),1100.0)</f>
        <v>1100</v>
      </c>
      <c r="R14" s="37"/>
      <c r="S14" s="38">
        <f>IFERROR(__xludf.DUMMYFUNCTION("""COMPUTED_VALUE"""),45059.0)</f>
        <v>45059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IFERROR(__xludf.DUMMYFUNCTION("""COMPUTED_VALUE"""),"ベンチャー")</f>
        <v>ベンチャー</v>
      </c>
      <c r="C15" s="35" t="str">
        <f>IFERROR(__xludf.DUMMYFUNCTION("""COMPUTED_VALUE"""),"ベンチャー")</f>
        <v>ベンチャー</v>
      </c>
      <c r="D15" s="35"/>
      <c r="E15" s="35" t="str">
        <f>IFERROR(__xludf.DUMMYFUNCTION("""COMPUTED_VALUE"""),"シングルカスクブレンデッド")</f>
        <v>シングルカスクブレンデッド</v>
      </c>
      <c r="F15" s="35"/>
      <c r="G15" s="35" t="str">
        <f>IFERROR(__xludf.DUMMYFUNCTION("""COMPUTED_VALUE"""),"イチローズモルト 神田バーテンダーズチョイス 2017")</f>
        <v>イチローズモルト 神田バーテンダーズチョイス 2017</v>
      </c>
      <c r="H15" s="35"/>
      <c r="I15" s="35"/>
      <c r="J15" s="35"/>
      <c r="K15" s="35"/>
      <c r="L15" s="35"/>
      <c r="M15" s="35"/>
      <c r="N15" s="36">
        <f>IFERROR(__xludf.DUMMYFUNCTION("""COMPUTED_VALUE"""),0.591)</f>
        <v>0.591</v>
      </c>
      <c r="O15" s="35">
        <f>IFERROR(__xludf.DUMMYFUNCTION("""COMPUTED_VALUE"""),246.0)</f>
        <v>246</v>
      </c>
      <c r="P15" s="37">
        <f>IFERROR(__xludf.DUMMYFUNCTION("""COMPUTED_VALUE"""),3000.0)</f>
        <v>3000</v>
      </c>
      <c r="Q15" s="37">
        <f>IFERROR(__xludf.DUMMYFUNCTION("""COMPUTED_VALUE"""),1600.0)</f>
        <v>1600</v>
      </c>
      <c r="R15" s="37"/>
      <c r="S15" s="38">
        <f>IFERROR(__xludf.DUMMYFUNCTION("""COMPUTED_VALUE"""),45472.0)</f>
        <v>45472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IFERROR(__xludf.DUMMYFUNCTION("""COMPUTED_VALUE"""),"ベンチャー")</f>
        <v>ベンチャー</v>
      </c>
      <c r="C16" s="35" t="str">
        <f>IFERROR(__xludf.DUMMYFUNCTION("""COMPUTED_VALUE"""),"ベンチャー")</f>
        <v>ベンチャー</v>
      </c>
      <c r="D16" s="35"/>
      <c r="E16" s="35" t="str">
        <f>IFERROR(__xludf.DUMMYFUNCTION("""COMPUTED_VALUE"""),"シングルカスクブレンデッド")</f>
        <v>シングルカスクブレンデッド</v>
      </c>
      <c r="F16" s="35"/>
      <c r="G16" s="35" t="str">
        <f>IFERROR(__xludf.DUMMYFUNCTION("""COMPUTED_VALUE"""),"イチローズモルト 神田バーテンダーズチョイス 2021")</f>
        <v>イチローズモルト 神田バーテンダーズチョイス 2021</v>
      </c>
      <c r="H16" s="35"/>
      <c r="I16" s="35"/>
      <c r="J16" s="35"/>
      <c r="K16" s="35"/>
      <c r="L16" s="35"/>
      <c r="M16" s="35"/>
      <c r="N16" s="36">
        <f>IFERROR(__xludf.DUMMYFUNCTION("""COMPUTED_VALUE"""),0.58)</f>
        <v>0.58</v>
      </c>
      <c r="O16" s="35">
        <f>IFERROR(__xludf.DUMMYFUNCTION("""COMPUTED_VALUE"""),313.0)</f>
        <v>313</v>
      </c>
      <c r="P16" s="37">
        <f>IFERROR(__xludf.DUMMYFUNCTION("""COMPUTED_VALUE"""),3000.0)</f>
        <v>3000</v>
      </c>
      <c r="Q16" s="37">
        <f>IFERROR(__xludf.DUMMYFUNCTION("""COMPUTED_VALUE"""),1600.0)</f>
        <v>1600</v>
      </c>
      <c r="R16" s="37"/>
      <c r="S16" s="38">
        <f>IFERROR(__xludf.DUMMYFUNCTION("""COMPUTED_VALUE"""),45473.0)</f>
        <v>45473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IFERROR(__xludf.DUMMYFUNCTION("""COMPUTED_VALUE"""),"ベンチャー")</f>
        <v>ベンチャー</v>
      </c>
      <c r="C17" s="35" t="str">
        <f>IFERROR(__xludf.DUMMYFUNCTION("""COMPUTED_VALUE"""),"ベンチャー")</f>
        <v>ベンチャー</v>
      </c>
      <c r="D17" s="35"/>
      <c r="E17" s="35" t="str">
        <f>IFERROR(__xludf.DUMMYFUNCTION("""COMPUTED_VALUE"""),"シングルカスクブレンデッド")</f>
        <v>シングルカスクブレンデッド</v>
      </c>
      <c r="F17" s="35" t="str">
        <f>IFERROR(__xludf.DUMMYFUNCTION("""COMPUTED_VALUE"""),"#4080")</f>
        <v>#4080</v>
      </c>
      <c r="G17" s="35" t="str">
        <f>IFERROR(__xludf.DUMMYFUNCTION("""COMPUTED_VALUE"""),"イチローズモルト&amp;グレーン")</f>
        <v>イチローズモルト&amp;グレーン</v>
      </c>
      <c r="H17" s="35" t="str">
        <f>IFERROR(__xludf.DUMMYFUNCTION("""COMPUTED_VALUE"""),"for ボン洋酒店30周年記念")</f>
        <v>for ボン洋酒店30周年記念</v>
      </c>
      <c r="I17" s="35"/>
      <c r="J17" s="35" t="str">
        <f>IFERROR(__xludf.DUMMYFUNCTION("""COMPUTED_VALUE"""),"バーボン樽")</f>
        <v>バーボン樽</v>
      </c>
      <c r="K17" s="35" t="str">
        <f>IFERROR(__xludf.DUMMYFUNCTION("""COMPUTED_VALUE"""),"？-2016.11")</f>
        <v>？-2016.11</v>
      </c>
      <c r="L17" s="35"/>
      <c r="M17" s="35"/>
      <c r="N17" s="36">
        <f>IFERROR(__xludf.DUMMYFUNCTION("""COMPUTED_VALUE"""),0.59)</f>
        <v>0.59</v>
      </c>
      <c r="O17" s="35">
        <f>IFERROR(__xludf.DUMMYFUNCTION("""COMPUTED_VALUE"""),250.0)</f>
        <v>250</v>
      </c>
      <c r="P17" s="37">
        <f>IFERROR(__xludf.DUMMYFUNCTION("""COMPUTED_VALUE"""),3000.0)</f>
        <v>3000</v>
      </c>
      <c r="Q17" s="37">
        <f>IFERROR(__xludf.DUMMYFUNCTION("""COMPUTED_VALUE"""),1600.0)</f>
        <v>1600</v>
      </c>
      <c r="R17" s="37"/>
      <c r="S17" s="38">
        <f>IFERROR(__xludf.DUMMYFUNCTION("""COMPUTED_VALUE"""),45001.0)</f>
        <v>45001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IFERROR(__xludf.DUMMYFUNCTION("""COMPUTED_VALUE"""),"ベンチャー")</f>
        <v>ベンチャー</v>
      </c>
      <c r="C18" s="35" t="str">
        <f>IFERROR(__xludf.DUMMYFUNCTION("""COMPUTED_VALUE"""),"ベンチャー")</f>
        <v>ベンチャー</v>
      </c>
      <c r="D18" s="35"/>
      <c r="E18" s="35" t="str">
        <f>IFERROR(__xludf.DUMMYFUNCTION("""COMPUTED_VALUE"""),"シングルカスクブレンデッド")</f>
        <v>シングルカスクブレンデッド</v>
      </c>
      <c r="F18" s="35" t="str">
        <f>IFERROR(__xludf.DUMMYFUNCTION("""COMPUTED_VALUE"""),"#4083")</f>
        <v>#4083</v>
      </c>
      <c r="G18" s="35" t="str">
        <f>IFERROR(__xludf.DUMMYFUNCTION("""COMPUTED_VALUE"""),"イチローズモルト&amp;グレーン")</f>
        <v>イチローズモルト&amp;グレーン</v>
      </c>
      <c r="H18" s="35" t="str">
        <f>IFERROR(__xludf.DUMMYFUNCTION("""COMPUTED_VALUE"""),"for 秋田屋160周年記念")</f>
        <v>for 秋田屋160周年記念</v>
      </c>
      <c r="I18" s="35"/>
      <c r="J18" s="35" t="str">
        <f>IFERROR(__xludf.DUMMYFUNCTION("""COMPUTED_VALUE"""),"バーボン樽")</f>
        <v>バーボン樽</v>
      </c>
      <c r="K18" s="35" t="str">
        <f>IFERROR(__xludf.DUMMYFUNCTION("""COMPUTED_VALUE"""),"？-2016.3")</f>
        <v>？-2016.3</v>
      </c>
      <c r="L18" s="35"/>
      <c r="M18" s="35"/>
      <c r="N18" s="36">
        <f>IFERROR(__xludf.DUMMYFUNCTION("""COMPUTED_VALUE"""),0.59)</f>
        <v>0.59</v>
      </c>
      <c r="O18" s="35">
        <f>IFERROR(__xludf.DUMMYFUNCTION("""COMPUTED_VALUE"""),260.0)</f>
        <v>260</v>
      </c>
      <c r="P18" s="37">
        <f>IFERROR(__xludf.DUMMYFUNCTION("""COMPUTED_VALUE"""),3000.0)</f>
        <v>3000</v>
      </c>
      <c r="Q18" s="37">
        <f>IFERROR(__xludf.DUMMYFUNCTION("""COMPUTED_VALUE"""),1600.0)</f>
        <v>1600</v>
      </c>
      <c r="R18" s="37"/>
      <c r="S18" s="38">
        <f>IFERROR(__xludf.DUMMYFUNCTION("""COMPUTED_VALUE"""),45002.0)</f>
        <v>45002</v>
      </c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IFERROR(__xludf.DUMMYFUNCTION("""COMPUTED_VALUE"""),"ベンチャー")</f>
        <v>ベンチャー</v>
      </c>
      <c r="C19" s="35" t="str">
        <f>IFERROR(__xludf.DUMMYFUNCTION("""COMPUTED_VALUE"""),"ベンチャー")</f>
        <v>ベンチャー</v>
      </c>
      <c r="D19" s="35"/>
      <c r="E19" s="35" t="str">
        <f>IFERROR(__xludf.DUMMYFUNCTION("""COMPUTED_VALUE"""),"シングルカスクブレンデッド")</f>
        <v>シングルカスクブレンデッド</v>
      </c>
      <c r="F19" s="35" t="str">
        <f>IFERROR(__xludf.DUMMYFUNCTION("""COMPUTED_VALUE"""),"#4994")</f>
        <v>#4994</v>
      </c>
      <c r="G19" s="35" t="str">
        <f>IFERROR(__xludf.DUMMYFUNCTION("""COMPUTED_VALUE"""),"イチローズモルト&amp;グレーン")</f>
        <v>イチローズモルト&amp;グレーン</v>
      </c>
      <c r="H19" s="35" t="str">
        <f>IFERROR(__xludf.DUMMYFUNCTION("""COMPUTED_VALUE"""),"for Bar Show 2020")</f>
        <v>for Bar Show 2020</v>
      </c>
      <c r="I19" s="35"/>
      <c r="J19" s="35" t="str">
        <f>IFERROR(__xludf.DUMMYFUNCTION("""COMPUTED_VALUE"""),"バーボン樽")</f>
        <v>バーボン樽</v>
      </c>
      <c r="K19" s="35" t="str">
        <f>IFERROR(__xludf.DUMMYFUNCTION("""COMPUTED_VALUE"""),"?-2016.3")</f>
        <v>?-2016.3</v>
      </c>
      <c r="L19" s="35"/>
      <c r="M19" s="35"/>
      <c r="N19" s="36"/>
      <c r="O19" s="35"/>
      <c r="P19" s="37">
        <f>IFERROR(__xludf.DUMMYFUNCTION("""COMPUTED_VALUE"""),3000.0)</f>
        <v>3000</v>
      </c>
      <c r="Q19" s="37">
        <f>IFERROR(__xludf.DUMMYFUNCTION("""COMPUTED_VALUE"""),1600.0)</f>
        <v>1600</v>
      </c>
      <c r="R19" s="37"/>
      <c r="S19" s="38">
        <f>IFERROR(__xludf.DUMMYFUNCTION("""COMPUTED_VALUE"""),44999.0)</f>
        <v>44999</v>
      </c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IFERROR(__xludf.DUMMYFUNCTION("""COMPUTED_VALUE"""),"ベンチャー")</f>
        <v>ベンチャー</v>
      </c>
      <c r="C20" s="35" t="str">
        <f>IFERROR(__xludf.DUMMYFUNCTION("""COMPUTED_VALUE"""),"ベンチャー")</f>
        <v>ベンチャー</v>
      </c>
      <c r="D20" s="35" t="str">
        <f>IFERROR(__xludf.DUMMYFUNCTION("""COMPUTED_VALUE"""),"秩父")</f>
        <v>秩父</v>
      </c>
      <c r="E20" s="35" t="str">
        <f>IFERROR(__xludf.DUMMYFUNCTION("""COMPUTED_VALUE"""),"シングルモルト")</f>
        <v>シングルモルト</v>
      </c>
      <c r="F20" s="35"/>
      <c r="G20" s="35" t="str">
        <f>IFERROR(__xludf.DUMMYFUNCTION("""COMPUTED_VALUE"""),"イチローズモルト 15年 ファイナルヴィンテージオブ羽生")</f>
        <v>イチローズモルト 15年 ファイナルヴィンテージオブ羽生</v>
      </c>
      <c r="H20" s="35"/>
      <c r="I20" s="35"/>
      <c r="J20" s="35"/>
      <c r="K20" s="35"/>
      <c r="L20" s="35"/>
      <c r="M20" s="35"/>
      <c r="N20" s="36">
        <f>IFERROR(__xludf.DUMMYFUNCTION("""COMPUTED_VALUE"""),0.465)</f>
        <v>0.465</v>
      </c>
      <c r="O20" s="35"/>
      <c r="P20" s="37"/>
      <c r="Q20" s="37"/>
      <c r="R20" s="37">
        <f>IFERROR(__xludf.DUMMYFUNCTION("""COMPUTED_VALUE"""),2200.0)</f>
        <v>2200</v>
      </c>
      <c r="S20" s="38">
        <f>IFERROR(__xludf.DUMMYFUNCTION("""COMPUTED_VALUE"""),44975.0)</f>
        <v>44975</v>
      </c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IFERROR(__xludf.DUMMYFUNCTION("""COMPUTED_VALUE"""),"ベンチャー")</f>
        <v>ベンチャー</v>
      </c>
      <c r="C21" s="35" t="str">
        <f>IFERROR(__xludf.DUMMYFUNCTION("""COMPUTED_VALUE"""),"ベンチャー")</f>
        <v>ベンチャー</v>
      </c>
      <c r="D21" s="35" t="str">
        <f>IFERROR(__xludf.DUMMYFUNCTION("""COMPUTED_VALUE"""),"秩父")</f>
        <v>秩父</v>
      </c>
      <c r="E21" s="35" t="str">
        <f>IFERROR(__xludf.DUMMYFUNCTION("""COMPUTED_VALUE"""),"シングルモルト")</f>
        <v>シングルモルト</v>
      </c>
      <c r="F21" s="35"/>
      <c r="G21" s="35" t="str">
        <f>IFERROR(__xludf.DUMMYFUNCTION("""COMPUTED_VALUE"""),"イチローズモルト秩父 ディスティラリーⅡ")</f>
        <v>イチローズモルト秩父 ディスティラリーⅡ</v>
      </c>
      <c r="H21" s="35"/>
      <c r="I21" s="35"/>
      <c r="J21" s="35"/>
      <c r="K21" s="35"/>
      <c r="L21" s="35"/>
      <c r="M21" s="35"/>
      <c r="N21" s="36">
        <f>IFERROR(__xludf.DUMMYFUNCTION("""COMPUTED_VALUE"""),0.55)</f>
        <v>0.55</v>
      </c>
      <c r="O21" s="35"/>
      <c r="P21" s="37">
        <f>IFERROR(__xludf.DUMMYFUNCTION("""COMPUTED_VALUE"""),2200.0)</f>
        <v>2200</v>
      </c>
      <c r="Q21" s="37">
        <f>IFERROR(__xludf.DUMMYFUNCTION("""COMPUTED_VALUE"""),1200.0)</f>
        <v>1200</v>
      </c>
      <c r="R21" s="37"/>
      <c r="S21" s="38"/>
      <c r="T21" s="35"/>
      <c r="U21" s="35"/>
      <c r="V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IFERROR(__xludf.DUMMYFUNCTION("""COMPUTED_VALUE"""),"ベンチャー")</f>
        <v>ベンチャー</v>
      </c>
      <c r="C22" s="35" t="str">
        <f>IFERROR(__xludf.DUMMYFUNCTION("""COMPUTED_VALUE"""),"ベンチャー")</f>
        <v>ベンチャー</v>
      </c>
      <c r="D22" s="35" t="str">
        <f>IFERROR(__xludf.DUMMYFUNCTION("""COMPUTED_VALUE"""),"秩父")</f>
        <v>秩父</v>
      </c>
      <c r="E22" s="35" t="str">
        <f>IFERROR(__xludf.DUMMYFUNCTION("""COMPUTED_VALUE"""),"シングルモルト")</f>
        <v>シングルモルト</v>
      </c>
      <c r="F22" s="35"/>
      <c r="G22" s="35" t="str">
        <f>IFERROR(__xludf.DUMMYFUNCTION("""COMPUTED_VALUE"""),"イチローズモルト秩父 オンザウェイ 2013")</f>
        <v>イチローズモルト秩父 オンザウェイ 2013</v>
      </c>
      <c r="H22" s="35"/>
      <c r="I22" s="35"/>
      <c r="J22" s="35"/>
      <c r="K22" s="35"/>
      <c r="L22" s="35"/>
      <c r="M22" s="35"/>
      <c r="N22" s="36"/>
      <c r="O22" s="35"/>
      <c r="P22" s="37">
        <f>IFERROR(__xludf.DUMMYFUNCTION("""COMPUTED_VALUE"""),3000.0)</f>
        <v>3000</v>
      </c>
      <c r="Q22" s="37">
        <f>IFERROR(__xludf.DUMMYFUNCTION("""COMPUTED_VALUE"""),1600.0)</f>
        <v>1600</v>
      </c>
      <c r="R22" s="37"/>
      <c r="S22" s="38">
        <f>IFERROR(__xludf.DUMMYFUNCTION("""COMPUTED_VALUE"""),44903.0)</f>
        <v>44903</v>
      </c>
      <c r="T22" s="35"/>
      <c r="U22" s="35"/>
      <c r="V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IFERROR(__xludf.DUMMYFUNCTION("""COMPUTED_VALUE"""),"ベンチャー")</f>
        <v>ベンチャー</v>
      </c>
      <c r="C23" s="35" t="str">
        <f>IFERROR(__xludf.DUMMYFUNCTION("""COMPUTED_VALUE"""),"ベンチャー")</f>
        <v>ベンチャー</v>
      </c>
      <c r="D23" s="35" t="str">
        <f>IFERROR(__xludf.DUMMYFUNCTION("""COMPUTED_VALUE"""),"秩父")</f>
        <v>秩父</v>
      </c>
      <c r="E23" s="35" t="str">
        <f>IFERROR(__xludf.DUMMYFUNCTION("""COMPUTED_VALUE"""),"シングルモルト")</f>
        <v>シングルモルト</v>
      </c>
      <c r="F23" s="35"/>
      <c r="G23" s="35" t="str">
        <f>IFERROR(__xludf.DUMMYFUNCTION("""COMPUTED_VALUE"""),"イチローズモルト秩父 オンザウェイ 2015")</f>
        <v>イチローズモルト秩父 オンザウェイ 2015</v>
      </c>
      <c r="H23" s="35"/>
      <c r="I23" s="35"/>
      <c r="J23" s="35"/>
      <c r="K23" s="35"/>
      <c r="L23" s="35"/>
      <c r="M23" s="35"/>
      <c r="N23" s="36"/>
      <c r="O23" s="35"/>
      <c r="P23" s="37">
        <f>IFERROR(__xludf.DUMMYFUNCTION("""COMPUTED_VALUE"""),3000.0)</f>
        <v>3000</v>
      </c>
      <c r="Q23" s="37">
        <f>IFERROR(__xludf.DUMMYFUNCTION("""COMPUTED_VALUE"""),1600.0)</f>
        <v>1600</v>
      </c>
      <c r="R23" s="37"/>
      <c r="S23" s="38">
        <f>IFERROR(__xludf.DUMMYFUNCTION("""COMPUTED_VALUE"""),44904.0)</f>
        <v>44904</v>
      </c>
      <c r="T23" s="35"/>
      <c r="U23" s="35"/>
      <c r="V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IFERROR(__xludf.DUMMYFUNCTION("""COMPUTED_VALUE"""),"ベンチャー")</f>
        <v>ベンチャー</v>
      </c>
      <c r="C24" s="35" t="str">
        <f>IFERROR(__xludf.DUMMYFUNCTION("""COMPUTED_VALUE"""),"ベンチャー")</f>
        <v>ベンチャー</v>
      </c>
      <c r="D24" s="35" t="str">
        <f>IFERROR(__xludf.DUMMYFUNCTION("""COMPUTED_VALUE"""),"秩父")</f>
        <v>秩父</v>
      </c>
      <c r="E24" s="35" t="str">
        <f>IFERROR(__xludf.DUMMYFUNCTION("""COMPUTED_VALUE"""),"シングルモルト")</f>
        <v>シングルモルト</v>
      </c>
      <c r="F24" s="35"/>
      <c r="G24" s="35" t="str">
        <f>IFERROR(__xludf.DUMMYFUNCTION("""COMPUTED_VALUE"""),"イチローズモルト秩父 オンザウェイ 2019")</f>
        <v>イチローズモルト秩父 オンザウェイ 2019</v>
      </c>
      <c r="H24" s="35"/>
      <c r="I24" s="35"/>
      <c r="J24" s="35"/>
      <c r="K24" s="35"/>
      <c r="L24" s="35"/>
      <c r="M24" s="35"/>
      <c r="N24" s="36"/>
      <c r="O24" s="35"/>
      <c r="P24" s="37">
        <f>IFERROR(__xludf.DUMMYFUNCTION("""COMPUTED_VALUE"""),3000.0)</f>
        <v>3000</v>
      </c>
      <c r="Q24" s="37">
        <f>IFERROR(__xludf.DUMMYFUNCTION("""COMPUTED_VALUE"""),1600.0)</f>
        <v>1600</v>
      </c>
      <c r="R24" s="37"/>
      <c r="S24" s="38">
        <f>IFERROR(__xludf.DUMMYFUNCTION("""COMPUTED_VALUE"""),44905.0)</f>
        <v>44905</v>
      </c>
      <c r="T24" s="35"/>
      <c r="U24" s="35"/>
      <c r="V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IFERROR(__xludf.DUMMYFUNCTION("""COMPUTED_VALUE"""),"ベンチャー")</f>
        <v>ベンチャー</v>
      </c>
      <c r="C25" s="35" t="str">
        <f>IFERROR(__xludf.DUMMYFUNCTION("""COMPUTED_VALUE"""),"ベンチャー")</f>
        <v>ベンチャー</v>
      </c>
      <c r="D25" s="35" t="str">
        <f>IFERROR(__xludf.DUMMYFUNCTION("""COMPUTED_VALUE"""),"秩父")</f>
        <v>秩父</v>
      </c>
      <c r="E25" s="35" t="str">
        <f>IFERROR(__xludf.DUMMYFUNCTION("""COMPUTED_VALUE"""),"シングルモルト")</f>
        <v>シングルモルト</v>
      </c>
      <c r="F25" s="35"/>
      <c r="G25" s="35" t="str">
        <f>IFERROR(__xludf.DUMMYFUNCTION("""COMPUTED_VALUE"""),"イチローズモルト秩父 オンザウェイ 2024")</f>
        <v>イチローズモルト秩父 オンザウェイ 2024</v>
      </c>
      <c r="H25" s="35"/>
      <c r="I25" s="35"/>
      <c r="J25" s="35"/>
      <c r="K25" s="35"/>
      <c r="L25" s="35"/>
      <c r="M25" s="35"/>
      <c r="N25" s="36"/>
      <c r="O25" s="35"/>
      <c r="P25" s="37">
        <f>IFERROR(__xludf.DUMMYFUNCTION("""COMPUTED_VALUE"""),3000.0)</f>
        <v>3000</v>
      </c>
      <c r="Q25" s="37">
        <f>IFERROR(__xludf.DUMMYFUNCTION("""COMPUTED_VALUE"""),1600.0)</f>
        <v>1600</v>
      </c>
      <c r="R25" s="37"/>
      <c r="S25" s="38">
        <f>IFERROR(__xludf.DUMMYFUNCTION("""COMPUTED_VALUE"""),45499.0)</f>
        <v>45499</v>
      </c>
      <c r="T25" s="35"/>
      <c r="U25" s="35"/>
      <c r="V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IFERROR(__xludf.DUMMYFUNCTION("""COMPUTED_VALUE"""),"ベンチャー")</f>
        <v>ベンチャー</v>
      </c>
      <c r="C26" s="35" t="str">
        <f>IFERROR(__xludf.DUMMYFUNCTION("""COMPUTED_VALUE"""),"ベンチャー")</f>
        <v>ベンチャー</v>
      </c>
      <c r="D26" s="35" t="str">
        <f>IFERROR(__xludf.DUMMYFUNCTION("""COMPUTED_VALUE"""),"秩父")</f>
        <v>秩父</v>
      </c>
      <c r="E26" s="35" t="str">
        <f>IFERROR(__xludf.DUMMYFUNCTION("""COMPUTED_VALUE"""),"シングルモルト")</f>
        <v>シングルモルト</v>
      </c>
      <c r="F26" s="35"/>
      <c r="G26" s="35" t="str">
        <f>IFERROR(__xludf.DUMMYFUNCTION("""COMPUTED_VALUE"""),"イチローズモルト秩父 ちびダル 2014")</f>
        <v>イチローズモルト秩父 ちびダル 2014</v>
      </c>
      <c r="H26" s="35"/>
      <c r="I26" s="35"/>
      <c r="J26" s="35"/>
      <c r="K26" s="35"/>
      <c r="L26" s="35"/>
      <c r="M26" s="35"/>
      <c r="N26" s="36"/>
      <c r="O26" s="35"/>
      <c r="P26" s="37">
        <f>IFERROR(__xludf.DUMMYFUNCTION("""COMPUTED_VALUE"""),3000.0)</f>
        <v>3000</v>
      </c>
      <c r="Q26" s="37">
        <f>IFERROR(__xludf.DUMMYFUNCTION("""COMPUTED_VALUE"""),1600.0)</f>
        <v>1600</v>
      </c>
      <c r="R26" s="37"/>
      <c r="S26" s="38">
        <f>IFERROR(__xludf.DUMMYFUNCTION("""COMPUTED_VALUE"""),45055.0)</f>
        <v>45055</v>
      </c>
      <c r="T26" s="35"/>
      <c r="U26" s="35"/>
      <c r="V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IFERROR(__xludf.DUMMYFUNCTION("""COMPUTED_VALUE"""),"ベンチャー")</f>
        <v>ベンチャー</v>
      </c>
      <c r="C27" s="35" t="str">
        <f>IFERROR(__xludf.DUMMYFUNCTION("""COMPUTED_VALUE"""),"ベンチャー")</f>
        <v>ベンチャー</v>
      </c>
      <c r="D27" s="35" t="str">
        <f>IFERROR(__xludf.DUMMYFUNCTION("""COMPUTED_VALUE"""),"秩父")</f>
        <v>秩父</v>
      </c>
      <c r="E27" s="35" t="str">
        <f>IFERROR(__xludf.DUMMYFUNCTION("""COMPUTED_VALUE"""),"シングルモルト")</f>
        <v>シングルモルト</v>
      </c>
      <c r="F27" s="35"/>
      <c r="G27" s="35" t="str">
        <f>IFERROR(__xludf.DUMMYFUNCTION("""COMPUTED_VALUE"""),"イチローズモルト秩父 ピーテッド 2015")</f>
        <v>イチローズモルト秩父 ピーテッド 2015</v>
      </c>
      <c r="H27" s="35"/>
      <c r="I27" s="35"/>
      <c r="J27" s="35"/>
      <c r="K27" s="35"/>
      <c r="L27" s="35"/>
      <c r="M27" s="35"/>
      <c r="N27" s="36"/>
      <c r="O27" s="35"/>
      <c r="P27" s="37">
        <f>IFERROR(__xludf.DUMMYFUNCTION("""COMPUTED_VALUE"""),3000.0)</f>
        <v>3000</v>
      </c>
      <c r="Q27" s="37">
        <f>IFERROR(__xludf.DUMMYFUNCTION("""COMPUTED_VALUE"""),1600.0)</f>
        <v>1600</v>
      </c>
      <c r="R27" s="37"/>
      <c r="S27" s="38">
        <f>IFERROR(__xludf.DUMMYFUNCTION("""COMPUTED_VALUE"""),45062.0)</f>
        <v>45062</v>
      </c>
      <c r="T27" s="35"/>
      <c r="U27" s="35"/>
      <c r="V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IFERROR(__xludf.DUMMYFUNCTION("""COMPUTED_VALUE"""),"ベンチャー")</f>
        <v>ベンチャー</v>
      </c>
      <c r="C28" s="35" t="str">
        <f>IFERROR(__xludf.DUMMYFUNCTION("""COMPUTED_VALUE"""),"ベンチャー")</f>
        <v>ベンチャー</v>
      </c>
      <c r="D28" s="35" t="str">
        <f>IFERROR(__xludf.DUMMYFUNCTION("""COMPUTED_VALUE"""),"秩父")</f>
        <v>秩父</v>
      </c>
      <c r="E28" s="35" t="str">
        <f>IFERROR(__xludf.DUMMYFUNCTION("""COMPUTED_VALUE"""),"シングルモルト")</f>
        <v>シングルモルト</v>
      </c>
      <c r="F28" s="35"/>
      <c r="G28" s="35" t="str">
        <f>IFERROR(__xludf.DUMMYFUNCTION("""COMPUTED_VALUE"""),"イチローズモルト秩父 ピーテッド 2018")</f>
        <v>イチローズモルト秩父 ピーテッド 2018</v>
      </c>
      <c r="H28" s="35"/>
      <c r="I28" s="35"/>
      <c r="J28" s="35"/>
      <c r="K28" s="35"/>
      <c r="L28" s="35"/>
      <c r="M28" s="35"/>
      <c r="N28" s="36"/>
      <c r="O28" s="35"/>
      <c r="P28" s="37">
        <f>IFERROR(__xludf.DUMMYFUNCTION("""COMPUTED_VALUE"""),3000.0)</f>
        <v>3000</v>
      </c>
      <c r="Q28" s="37">
        <f>IFERROR(__xludf.DUMMYFUNCTION("""COMPUTED_VALUE"""),1600.0)</f>
        <v>1600</v>
      </c>
      <c r="R28" s="37"/>
      <c r="S28" s="38">
        <f>IFERROR(__xludf.DUMMYFUNCTION("""COMPUTED_VALUE"""),45061.0)</f>
        <v>45061</v>
      </c>
      <c r="T28" s="35"/>
      <c r="U28" s="35"/>
      <c r="V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IFERROR(__xludf.DUMMYFUNCTION("""COMPUTED_VALUE"""),"ベンチャー")</f>
        <v>ベンチャー</v>
      </c>
      <c r="C29" s="35" t="str">
        <f>IFERROR(__xludf.DUMMYFUNCTION("""COMPUTED_VALUE"""),"ベンチャー")</f>
        <v>ベンチャー</v>
      </c>
      <c r="D29" s="35" t="str">
        <f>IFERROR(__xludf.DUMMYFUNCTION("""COMPUTED_VALUE"""),"秩父")</f>
        <v>秩父</v>
      </c>
      <c r="E29" s="35" t="str">
        <f>IFERROR(__xludf.DUMMYFUNCTION("""COMPUTED_VALUE"""),"シングルモルト")</f>
        <v>シングルモルト</v>
      </c>
      <c r="F29" s="35"/>
      <c r="G29" s="35" t="str">
        <f>IFERROR(__xludf.DUMMYFUNCTION("""COMPUTED_VALUE"""),"イチローズモルト秩父 ピーテッド 2022")</f>
        <v>イチローズモルト秩父 ピーテッド 2022</v>
      </c>
      <c r="H29" s="35"/>
      <c r="I29" s="35"/>
      <c r="J29" s="35"/>
      <c r="K29" s="35"/>
      <c r="L29" s="35"/>
      <c r="M29" s="35"/>
      <c r="N29" s="36"/>
      <c r="O29" s="35"/>
      <c r="P29" s="37">
        <f>IFERROR(__xludf.DUMMYFUNCTION("""COMPUTED_VALUE"""),3000.0)</f>
        <v>3000</v>
      </c>
      <c r="Q29" s="37">
        <f>IFERROR(__xludf.DUMMYFUNCTION("""COMPUTED_VALUE"""),1600.0)</f>
        <v>1600</v>
      </c>
      <c r="R29" s="37"/>
      <c r="S29" s="38">
        <f>IFERROR(__xludf.DUMMYFUNCTION("""COMPUTED_VALUE"""),45060.0)</f>
        <v>45060</v>
      </c>
      <c r="T29" s="35"/>
      <c r="U29" s="35"/>
      <c r="V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IFERROR(__xludf.DUMMYFUNCTION("""COMPUTED_VALUE"""),"ベンチャー")</f>
        <v>ベンチャー</v>
      </c>
      <c r="C30" s="35" t="str">
        <f>IFERROR(__xludf.DUMMYFUNCTION("""COMPUTED_VALUE"""),"ベンチャー")</f>
        <v>ベンチャー</v>
      </c>
      <c r="D30" s="35" t="str">
        <f>IFERROR(__xludf.DUMMYFUNCTION("""COMPUTED_VALUE"""),"秩父")</f>
        <v>秩父</v>
      </c>
      <c r="E30" s="35" t="str">
        <f>IFERROR(__xludf.DUMMYFUNCTION("""COMPUTED_VALUE"""),"シングルモルト")</f>
        <v>シングルモルト</v>
      </c>
      <c r="F30" s="35"/>
      <c r="G30" s="35" t="str">
        <f>IFERROR(__xludf.DUMMYFUNCTION("""COMPUTED_VALUE"""),"イチローズモルト秩父 IPAカスクフィニッシュ 2017")</f>
        <v>イチローズモルト秩父 IPAカスクフィニッシュ 2017</v>
      </c>
      <c r="H30" s="35"/>
      <c r="I30" s="35"/>
      <c r="J30" s="35"/>
      <c r="K30" s="35"/>
      <c r="L30" s="35"/>
      <c r="M30" s="35"/>
      <c r="N30" s="36"/>
      <c r="O30" s="35"/>
      <c r="P30" s="37">
        <f>IFERROR(__xludf.DUMMYFUNCTION("""COMPUTED_VALUE"""),3000.0)</f>
        <v>3000</v>
      </c>
      <c r="Q30" s="37">
        <f>IFERROR(__xludf.DUMMYFUNCTION("""COMPUTED_VALUE"""),1600.0)</f>
        <v>1600</v>
      </c>
      <c r="R30" s="37"/>
      <c r="S30" s="38">
        <f>IFERROR(__xludf.DUMMYFUNCTION("""COMPUTED_VALUE"""),45058.0)</f>
        <v>45058</v>
      </c>
      <c r="T30" s="35"/>
      <c r="U30" s="35"/>
      <c r="V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IFERROR(__xludf.DUMMYFUNCTION("""COMPUTED_VALUE"""),"ベンチャー")</f>
        <v>ベンチャー</v>
      </c>
      <c r="C31" s="35" t="str">
        <f>IFERROR(__xludf.DUMMYFUNCTION("""COMPUTED_VALUE"""),"ベンチャー")</f>
        <v>ベンチャー</v>
      </c>
      <c r="D31" s="35" t="str">
        <f>IFERROR(__xludf.DUMMYFUNCTION("""COMPUTED_VALUE"""),"秩父")</f>
        <v>秩父</v>
      </c>
      <c r="E31" s="35" t="str">
        <f>IFERROR(__xludf.DUMMYFUNCTION("""COMPUTED_VALUE"""),"シングルモルト")</f>
        <v>シングルモルト</v>
      </c>
      <c r="F31" s="35"/>
      <c r="G31" s="35" t="str">
        <f>IFERROR(__xludf.DUMMYFUNCTION("""COMPUTED_VALUE"""),"イチローズモルト秩父 レッドワインカスク 2023")</f>
        <v>イチローズモルト秩父 レッドワインカスク 2023</v>
      </c>
      <c r="H31" s="35"/>
      <c r="I31" s="35"/>
      <c r="J31" s="35"/>
      <c r="K31" s="35"/>
      <c r="L31" s="35"/>
      <c r="M31" s="35"/>
      <c r="N31" s="36"/>
      <c r="O31" s="35"/>
      <c r="P31" s="37">
        <f>IFERROR(__xludf.DUMMYFUNCTION("""COMPUTED_VALUE"""),3000.0)</f>
        <v>3000</v>
      </c>
      <c r="Q31" s="37">
        <f>IFERROR(__xludf.DUMMYFUNCTION("""COMPUTED_VALUE"""),1600.0)</f>
        <v>1600</v>
      </c>
      <c r="R31" s="37"/>
      <c r="S31" s="38">
        <f>IFERROR(__xludf.DUMMYFUNCTION("""COMPUTED_VALUE"""),45184.0)</f>
        <v>45184</v>
      </c>
      <c r="T31" s="35"/>
      <c r="U31" s="35"/>
      <c r="V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IFERROR(__xludf.DUMMYFUNCTION("""COMPUTED_VALUE"""),"ベンチャー")</f>
        <v>ベンチャー</v>
      </c>
      <c r="C32" s="35" t="str">
        <f>IFERROR(__xludf.DUMMYFUNCTION("""COMPUTED_VALUE"""),"ベンチャー")</f>
        <v>ベンチャー</v>
      </c>
      <c r="D32" s="35" t="str">
        <f>IFERROR(__xludf.DUMMYFUNCTION("""COMPUTED_VALUE"""),"秩父")</f>
        <v>秩父</v>
      </c>
      <c r="E32" s="35" t="str">
        <f>IFERROR(__xludf.DUMMYFUNCTION("""COMPUTED_VALUE"""),"シングルモルト")</f>
        <v>シングルモルト</v>
      </c>
      <c r="F32" s="35"/>
      <c r="G32" s="35" t="str">
        <f>IFERROR(__xludf.DUMMYFUNCTION("""COMPUTED_VALUE"""),"イチローズモルト秩父 ファーストテン")</f>
        <v>イチローズモルト秩父 ファーストテン</v>
      </c>
      <c r="H32" s="35"/>
      <c r="I32" s="35"/>
      <c r="J32" s="35"/>
      <c r="K32" s="35"/>
      <c r="L32" s="35"/>
      <c r="M32" s="35"/>
      <c r="N32" s="36"/>
      <c r="O32" s="35"/>
      <c r="P32" s="37"/>
      <c r="Q32" s="37"/>
      <c r="R32" s="37">
        <f>IFERROR(__xludf.DUMMYFUNCTION("""COMPUTED_VALUE"""),2200.0)</f>
        <v>2200</v>
      </c>
      <c r="S32" s="38">
        <f>IFERROR(__xludf.DUMMYFUNCTION("""COMPUTED_VALUE"""),44974.0)</f>
        <v>44974</v>
      </c>
      <c r="T32" s="35"/>
      <c r="U32" s="35"/>
      <c r="V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IFERROR(__xludf.DUMMYFUNCTION("""COMPUTED_VALUE"""),"ベンチャー")</f>
        <v>ベンチャー</v>
      </c>
      <c r="C33" s="35" t="str">
        <f>IFERROR(__xludf.DUMMYFUNCTION("""COMPUTED_VALUE"""),"ベンチャー")</f>
        <v>ベンチャー</v>
      </c>
      <c r="D33" s="35" t="str">
        <f>IFERROR(__xludf.DUMMYFUNCTION("""COMPUTED_VALUE"""),"秩父")</f>
        <v>秩父</v>
      </c>
      <c r="E33" s="35" t="str">
        <f>IFERROR(__xludf.DUMMYFUNCTION("""COMPUTED_VALUE"""),"シングルモルト")</f>
        <v>シングルモルト</v>
      </c>
      <c r="F33" s="35"/>
      <c r="G33" s="35" t="str">
        <f>IFERROR(__xludf.DUMMYFUNCTION("""COMPUTED_VALUE"""),"イチローズモルト秩父 食源探訪 2015W")</f>
        <v>イチローズモルト秩父 食源探訪 2015W</v>
      </c>
      <c r="H33" s="35" t="str">
        <f>IFERROR(__xludf.DUMMYFUNCTION("""COMPUTED_VALUE"""),"for 西武・そごう")</f>
        <v>for 西武・そごう</v>
      </c>
      <c r="I33" s="35"/>
      <c r="J33" s="35"/>
      <c r="K33" s="35"/>
      <c r="L33" s="35"/>
      <c r="M33" s="35"/>
      <c r="N33" s="36"/>
      <c r="O33" s="35"/>
      <c r="P33" s="37">
        <f>IFERROR(__xludf.DUMMYFUNCTION("""COMPUTED_VALUE"""),3000.0)</f>
        <v>3000</v>
      </c>
      <c r="Q33" s="37">
        <f>IFERROR(__xludf.DUMMYFUNCTION("""COMPUTED_VALUE"""),1600.0)</f>
        <v>1600</v>
      </c>
      <c r="R33" s="37"/>
      <c r="S33" s="38">
        <f>IFERROR(__xludf.DUMMYFUNCTION("""COMPUTED_VALUE"""),45475.0)</f>
        <v>45475</v>
      </c>
      <c r="T33" s="35"/>
      <c r="U33" s="35"/>
      <c r="V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IFERROR(__xludf.DUMMYFUNCTION("""COMPUTED_VALUE"""),"ベンチャー")</f>
        <v>ベンチャー</v>
      </c>
      <c r="C34" s="35" t="str">
        <f>IFERROR(__xludf.DUMMYFUNCTION("""COMPUTED_VALUE"""),"ベンチャー")</f>
        <v>ベンチャー</v>
      </c>
      <c r="D34" s="35" t="str">
        <f>IFERROR(__xludf.DUMMYFUNCTION("""COMPUTED_VALUE"""),"秩父")</f>
        <v>秩父</v>
      </c>
      <c r="E34" s="35" t="str">
        <f>IFERROR(__xludf.DUMMYFUNCTION("""COMPUTED_VALUE"""),"トリプルカスク")</f>
        <v>トリプルカスク</v>
      </c>
      <c r="F34" s="35" t="str">
        <f>IFERROR(__xludf.DUMMYFUNCTION("""COMPUTED_VALUE"""),"#5263 #13487 #13488")</f>
        <v>#5263 #13487 #13488</v>
      </c>
      <c r="G34" s="35" t="str">
        <f>IFERROR(__xludf.DUMMYFUNCTION("""COMPUTED_VALUE"""),"イチローズモルト秩父 秩父エデイション 2023")</f>
        <v>イチローズモルト秩父 秩父エデイション 2023</v>
      </c>
      <c r="H34" s="35" t="str">
        <f>IFERROR(__xludf.DUMMYFUNCTION("""COMPUTED_VALUE"""),"秩父市内限定")</f>
        <v>秩父市内限定</v>
      </c>
      <c r="I34" s="35"/>
      <c r="J34" s="35"/>
      <c r="K34" s="35"/>
      <c r="L34" s="35"/>
      <c r="M34" s="35"/>
      <c r="N34" s="36"/>
      <c r="O34" s="35"/>
      <c r="P34" s="37">
        <f>IFERROR(__xludf.DUMMYFUNCTION("""COMPUTED_VALUE"""),3000.0)</f>
        <v>3000</v>
      </c>
      <c r="Q34" s="37">
        <f>IFERROR(__xludf.DUMMYFUNCTION("""COMPUTED_VALUE"""),1600.0)</f>
        <v>1600</v>
      </c>
      <c r="R34" s="37"/>
      <c r="S34" s="38">
        <f>IFERROR(__xludf.DUMMYFUNCTION("""COMPUTED_VALUE"""),45504.0)</f>
        <v>45504</v>
      </c>
      <c r="T34" s="35"/>
      <c r="U34" s="35"/>
      <c r="V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IFERROR(__xludf.DUMMYFUNCTION("""COMPUTED_VALUE"""),"ベンチャー")</f>
        <v>ベンチャー</v>
      </c>
      <c r="C35" s="35" t="str">
        <f>IFERROR(__xludf.DUMMYFUNCTION("""COMPUTED_VALUE"""),"ベンチャー")</f>
        <v>ベンチャー</v>
      </c>
      <c r="D35" s="35"/>
      <c r="E35" s="35" t="str">
        <f>IFERROR(__xludf.DUMMYFUNCTION("""COMPUTED_VALUE"""),"ブレンデッド")</f>
        <v>ブレンデッド</v>
      </c>
      <c r="F35" s="35"/>
      <c r="G35" s="35" t="str">
        <f>IFERROR(__xludf.DUMMYFUNCTION("""COMPUTED_VALUE"""),"イチローズモルト&amp;グレーン ホワイトリーフ")</f>
        <v>イチローズモルト&amp;グレーン ホワイトリーフ</v>
      </c>
      <c r="H35" s="35"/>
      <c r="I35" s="35"/>
      <c r="J35" s="35"/>
      <c r="K35" s="35"/>
      <c r="L35" s="35" t="str">
        <f>IFERROR(__xludf.DUMMYFUNCTION("""COMPUTED_VALUE"""),"✓")</f>
        <v>✓</v>
      </c>
      <c r="M35" s="35"/>
      <c r="N35" s="36"/>
      <c r="O35" s="35"/>
      <c r="P35" s="37">
        <f>IFERROR(__xludf.DUMMYFUNCTION("""COMPUTED_VALUE"""),1000.0)</f>
        <v>1000</v>
      </c>
      <c r="Q35" s="37">
        <f>IFERROR(__xludf.DUMMYFUNCTION("""COMPUTED_VALUE"""),600.0)</f>
        <v>600</v>
      </c>
      <c r="R35" s="37"/>
      <c r="S35" s="38">
        <f>IFERROR(__xludf.DUMMYFUNCTION("""COMPUTED_VALUE"""),45649.0)</f>
        <v>45649</v>
      </c>
      <c r="T35" s="35"/>
      <c r="U35" s="35"/>
      <c r="V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IFERROR(__xludf.DUMMYFUNCTION("""COMPUTED_VALUE"""),"ベンチャー")</f>
        <v>ベンチャー</v>
      </c>
      <c r="C36" s="35" t="str">
        <f>IFERROR(__xludf.DUMMYFUNCTION("""COMPUTED_VALUE"""),"ベンチャー")</f>
        <v>ベンチャー</v>
      </c>
      <c r="D36" s="35"/>
      <c r="E36" s="35" t="str">
        <f>IFERROR(__xludf.DUMMYFUNCTION("""COMPUTED_VALUE"""),"ブレンデッド")</f>
        <v>ブレンデッド</v>
      </c>
      <c r="F36" s="35"/>
      <c r="G36" s="35" t="str">
        <f>IFERROR(__xludf.DUMMYFUNCTION("""COMPUTED_VALUE"""),"イチローズモルト&amp;グレーン クラシカルエディション")</f>
        <v>イチローズモルト&amp;グレーン クラシカルエディション</v>
      </c>
      <c r="H36" s="35"/>
      <c r="I36" s="35"/>
      <c r="J36" s="35"/>
      <c r="K36" s="35"/>
      <c r="L36" s="35" t="str">
        <f>IFERROR(__xludf.DUMMYFUNCTION("""COMPUTED_VALUE"""),"✓")</f>
        <v>✓</v>
      </c>
      <c r="M36" s="35"/>
      <c r="N36" s="36"/>
      <c r="O36" s="35"/>
      <c r="P36" s="37">
        <f>IFERROR(__xludf.DUMMYFUNCTION("""COMPUTED_VALUE"""),1400.0)</f>
        <v>1400</v>
      </c>
      <c r="Q36" s="37">
        <f>IFERROR(__xludf.DUMMYFUNCTION("""COMPUTED_VALUE"""),800.0)</f>
        <v>800</v>
      </c>
      <c r="R36" s="37"/>
      <c r="S36" s="38">
        <f>IFERROR(__xludf.DUMMYFUNCTION("""COMPUTED_VALUE"""),44776.0)</f>
        <v>44776</v>
      </c>
      <c r="T36" s="35"/>
      <c r="U36" s="35"/>
      <c r="V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IFERROR(__xludf.DUMMYFUNCTION("""COMPUTED_VALUE"""),"ベンチャー")</f>
        <v>ベンチャー</v>
      </c>
      <c r="C37" s="35" t="str">
        <f>IFERROR(__xludf.DUMMYFUNCTION("""COMPUTED_VALUE"""),"ベンチャー")</f>
        <v>ベンチャー</v>
      </c>
      <c r="D37" s="35"/>
      <c r="E37" s="35" t="str">
        <f>IFERROR(__xludf.DUMMYFUNCTION("""COMPUTED_VALUE"""),"ブレンデッド")</f>
        <v>ブレンデッド</v>
      </c>
      <c r="F37" s="35"/>
      <c r="G37" s="35" t="str">
        <f>IFERROR(__xludf.DUMMYFUNCTION("""COMPUTED_VALUE"""),"イチローズモルト&amp;グレーン リミテッドエディション")</f>
        <v>イチローズモルト&amp;グレーン リミテッドエディション</v>
      </c>
      <c r="H37" s="35"/>
      <c r="I37" s="35"/>
      <c r="J37" s="35"/>
      <c r="K37" s="35"/>
      <c r="L37" s="35" t="str">
        <f>IFERROR(__xludf.DUMMYFUNCTION("""COMPUTED_VALUE"""),"✓")</f>
        <v>✓</v>
      </c>
      <c r="M37" s="35"/>
      <c r="N37" s="36"/>
      <c r="O37" s="35"/>
      <c r="P37" s="37">
        <f>IFERROR(__xludf.DUMMYFUNCTION("""COMPUTED_VALUE"""),1800.0)</f>
        <v>1800</v>
      </c>
      <c r="Q37" s="37">
        <f>IFERROR(__xludf.DUMMYFUNCTION("""COMPUTED_VALUE"""),1000.0)</f>
        <v>1000</v>
      </c>
      <c r="R37" s="37"/>
      <c r="S37" s="38"/>
      <c r="T37" s="35"/>
      <c r="U37" s="35"/>
      <c r="V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IFERROR(__xludf.DUMMYFUNCTION("""COMPUTED_VALUE"""),"ベンチャー")</f>
        <v>ベンチャー</v>
      </c>
      <c r="C38" s="35" t="str">
        <f>IFERROR(__xludf.DUMMYFUNCTION("""COMPUTED_VALUE"""),"ベンチャー")</f>
        <v>ベンチャー</v>
      </c>
      <c r="D38" s="35"/>
      <c r="E38" s="35" t="str">
        <f>IFERROR(__xludf.DUMMYFUNCTION("""COMPUTED_VALUE"""),"ブレンデッド")</f>
        <v>ブレンデッド</v>
      </c>
      <c r="F38" s="35"/>
      <c r="G38" s="35" t="str">
        <f>IFERROR(__xludf.DUMMYFUNCTION("""COMPUTED_VALUE"""),"イチローズモルト&amp;グレーン 505")</f>
        <v>イチローズモルト&amp;グレーン 505</v>
      </c>
      <c r="H38" s="35"/>
      <c r="I38" s="35"/>
      <c r="J38" s="35"/>
      <c r="K38" s="35"/>
      <c r="L38" s="35"/>
      <c r="M38" s="35"/>
      <c r="N38" s="36"/>
      <c r="O38" s="35"/>
      <c r="P38" s="37">
        <f>IFERROR(__xludf.DUMMYFUNCTION("""COMPUTED_VALUE"""),2000.0)</f>
        <v>2000</v>
      </c>
      <c r="Q38" s="37">
        <f>IFERROR(__xludf.DUMMYFUNCTION("""COMPUTED_VALUE"""),1100.0)</f>
        <v>1100</v>
      </c>
      <c r="R38" s="37"/>
      <c r="S38" s="38">
        <f>IFERROR(__xludf.DUMMYFUNCTION("""COMPUTED_VALUE"""),45681.0)</f>
        <v>45681</v>
      </c>
      <c r="T38" s="35"/>
      <c r="U38" s="35"/>
      <c r="V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IFERROR(__xludf.DUMMYFUNCTION("""COMPUTED_VALUE"""),"ベンチャー")</f>
        <v>ベンチャー</v>
      </c>
      <c r="C39" s="35" t="str">
        <f>IFERROR(__xludf.DUMMYFUNCTION("""COMPUTED_VALUE"""),"ベンチャー")</f>
        <v>ベンチャー</v>
      </c>
      <c r="D39" s="35"/>
      <c r="E39" s="35" t="str">
        <f>IFERROR(__xludf.DUMMYFUNCTION("""COMPUTED_VALUE"""),"ブレンデッド")</f>
        <v>ブレンデッド</v>
      </c>
      <c r="F39" s="35"/>
      <c r="G39" s="35" t="str">
        <f>IFERROR(__xludf.DUMMYFUNCTION("""COMPUTED_VALUE"""),"イチローズモルト&amp;グレーン 20th.アニバーサリーエディション")</f>
        <v>イチローズモルト&amp;グレーン 20th.アニバーサリーエディション</v>
      </c>
      <c r="H39" s="35" t="str">
        <f>IFERROR(__xludf.DUMMYFUNCTION("""COMPUTED_VALUE"""),"創業20周年記念")</f>
        <v>創業20周年記念</v>
      </c>
      <c r="I39" s="35"/>
      <c r="J39" s="35"/>
      <c r="K39" s="35"/>
      <c r="L39" s="35"/>
      <c r="M39" s="35"/>
      <c r="N39" s="36"/>
      <c r="O39" s="35"/>
      <c r="P39" s="37">
        <f>IFERROR(__xludf.DUMMYFUNCTION("""COMPUTED_VALUE"""),2800.0)</f>
        <v>2800</v>
      </c>
      <c r="Q39" s="37">
        <f>IFERROR(__xludf.DUMMYFUNCTION("""COMPUTED_VALUE"""),1500.0)</f>
        <v>1500</v>
      </c>
      <c r="R39" s="37"/>
      <c r="S39" s="38">
        <f>IFERROR(__xludf.DUMMYFUNCTION("""COMPUTED_VALUE"""),45567.0)</f>
        <v>45567</v>
      </c>
      <c r="T39" s="35"/>
      <c r="U39" s="35"/>
      <c r="V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IFERROR(__xludf.DUMMYFUNCTION("""COMPUTED_VALUE"""),"ベンチャー")</f>
        <v>ベンチャー</v>
      </c>
      <c r="C40" s="35" t="str">
        <f>IFERROR(__xludf.DUMMYFUNCTION("""COMPUTED_VALUE"""),"ベンチャー")</f>
        <v>ベンチャー</v>
      </c>
      <c r="D40" s="35"/>
      <c r="E40" s="35" t="str">
        <f>IFERROR(__xludf.DUMMYFUNCTION("""COMPUTED_VALUE"""),"ブレンデッド")</f>
        <v>ブレンデッド</v>
      </c>
      <c r="F40" s="35"/>
      <c r="G40" s="35" t="str">
        <f>IFERROR(__xludf.DUMMYFUNCTION("""COMPUTED_VALUE"""),"イチローズ モルト&amp;グレーン ジャパニーズブレンデッド 2022")</f>
        <v>イチローズ モルト&amp;グレーン ジャパニーズブレンデッド 2022</v>
      </c>
      <c r="H40" s="35"/>
      <c r="I40" s="35"/>
      <c r="J40" s="35"/>
      <c r="K40" s="35"/>
      <c r="L40" s="35"/>
      <c r="M40" s="35"/>
      <c r="N40" s="36"/>
      <c r="O40" s="35"/>
      <c r="P40" s="37"/>
      <c r="Q40" s="37"/>
      <c r="R40" s="37">
        <f>IFERROR(__xludf.DUMMYFUNCTION("""COMPUTED_VALUE"""),7000.0)</f>
        <v>7000</v>
      </c>
      <c r="S40" s="38">
        <f>IFERROR(__xludf.DUMMYFUNCTION("""COMPUTED_VALUE"""),44966.0)</f>
        <v>44966</v>
      </c>
      <c r="T40" s="35"/>
      <c r="U40" s="35"/>
      <c r="V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IFERROR(__xludf.DUMMYFUNCTION("""COMPUTED_VALUE"""),"ベンチャー")</f>
        <v>ベンチャー</v>
      </c>
      <c r="C41" s="35" t="str">
        <f>IFERROR(__xludf.DUMMYFUNCTION("""COMPUTED_VALUE"""),"ベンチャー")</f>
        <v>ベンチャー</v>
      </c>
      <c r="D41" s="35"/>
      <c r="E41" s="35" t="str">
        <f>IFERROR(__xludf.DUMMYFUNCTION("""COMPUTED_VALUE"""),"ブレンデッドモルト")</f>
        <v>ブレンデッドモルト</v>
      </c>
      <c r="F41" s="35"/>
      <c r="G41" s="35" t="str">
        <f>IFERROR(__xludf.DUMMYFUNCTION("""COMPUTED_VALUE"""),"イチローズモルト ミズナラウッドリザーヴ")</f>
        <v>イチローズモルト ミズナラウッドリザーヴ</v>
      </c>
      <c r="H41" s="35"/>
      <c r="I41" s="35"/>
      <c r="J41" s="35"/>
      <c r="K41" s="35"/>
      <c r="L41" s="35" t="str">
        <f>IFERROR(__xludf.DUMMYFUNCTION("""COMPUTED_VALUE"""),"✓")</f>
        <v>✓</v>
      </c>
      <c r="M41" s="35"/>
      <c r="N41" s="36"/>
      <c r="O41" s="35"/>
      <c r="P41" s="37">
        <f>IFERROR(__xludf.DUMMYFUNCTION("""COMPUTED_VALUE"""),1500.0)</f>
        <v>1500</v>
      </c>
      <c r="Q41" s="37">
        <f>IFERROR(__xludf.DUMMYFUNCTION("""COMPUTED_VALUE"""),850.0)</f>
        <v>850</v>
      </c>
      <c r="R41" s="37"/>
      <c r="S41" s="38">
        <f>IFERROR(__xludf.DUMMYFUNCTION("""COMPUTED_VALUE"""),45768.0)</f>
        <v>45768</v>
      </c>
      <c r="T41" s="35"/>
      <c r="U41" s="35"/>
      <c r="V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IFERROR(__xludf.DUMMYFUNCTION("""COMPUTED_VALUE"""),"ベンチャー")</f>
        <v>ベンチャー</v>
      </c>
      <c r="C42" s="35" t="str">
        <f>IFERROR(__xludf.DUMMYFUNCTION("""COMPUTED_VALUE"""),"ベンチャー")</f>
        <v>ベンチャー</v>
      </c>
      <c r="D42" s="35"/>
      <c r="E42" s="35" t="str">
        <f>IFERROR(__xludf.DUMMYFUNCTION("""COMPUTED_VALUE"""),"ブレンデッドモルト")</f>
        <v>ブレンデッドモルト</v>
      </c>
      <c r="F42" s="35"/>
      <c r="G42" s="35" t="str">
        <f>IFERROR(__xludf.DUMMYFUNCTION("""COMPUTED_VALUE"""),"イチローズモルト ワインウッドリザーヴ")</f>
        <v>イチローズモルト ワインウッドリザーヴ</v>
      </c>
      <c r="H42" s="35"/>
      <c r="I42" s="35"/>
      <c r="J42" s="35"/>
      <c r="K42" s="35"/>
      <c r="L42" s="35" t="str">
        <f>IFERROR(__xludf.DUMMYFUNCTION("""COMPUTED_VALUE"""),"✓")</f>
        <v>✓</v>
      </c>
      <c r="M42" s="35"/>
      <c r="N42" s="36"/>
      <c r="O42" s="35"/>
      <c r="P42" s="37">
        <f>IFERROR(__xludf.DUMMYFUNCTION("""COMPUTED_VALUE"""),1500.0)</f>
        <v>1500</v>
      </c>
      <c r="Q42" s="37">
        <f>IFERROR(__xludf.DUMMYFUNCTION("""COMPUTED_VALUE"""),850.0)</f>
        <v>850</v>
      </c>
      <c r="R42" s="37"/>
      <c r="S42" s="38">
        <f>IFERROR(__xludf.DUMMYFUNCTION("""COMPUTED_VALUE"""),45769.0)</f>
        <v>45769</v>
      </c>
      <c r="T42" s="35"/>
      <c r="U42" s="35"/>
      <c r="V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IFERROR(__xludf.DUMMYFUNCTION("""COMPUTED_VALUE"""),"ベンチャー")</f>
        <v>ベンチャー</v>
      </c>
      <c r="C43" s="35" t="str">
        <f>IFERROR(__xludf.DUMMYFUNCTION("""COMPUTED_VALUE"""),"ベンチャー")</f>
        <v>ベンチャー</v>
      </c>
      <c r="D43" s="35"/>
      <c r="E43" s="35" t="str">
        <f>IFERROR(__xludf.DUMMYFUNCTION("""COMPUTED_VALUE"""),"ブレンデッドモルト")</f>
        <v>ブレンデッドモルト</v>
      </c>
      <c r="F43" s="35"/>
      <c r="G43" s="35" t="str">
        <f>IFERROR(__xludf.DUMMYFUNCTION("""COMPUTED_VALUE"""),"イチローズモルト ダブルディスティラリーズ")</f>
        <v>イチローズモルト ダブルディスティラリーズ</v>
      </c>
      <c r="H43" s="35"/>
      <c r="I43" s="35"/>
      <c r="J43" s="35"/>
      <c r="K43" s="35"/>
      <c r="L43" s="35" t="str">
        <f>IFERROR(__xludf.DUMMYFUNCTION("""COMPUTED_VALUE"""),"✓")</f>
        <v>✓</v>
      </c>
      <c r="M43" s="35"/>
      <c r="N43" s="36"/>
      <c r="O43" s="35"/>
      <c r="P43" s="37">
        <f>IFERROR(__xludf.DUMMYFUNCTION("""COMPUTED_VALUE"""),1500.0)</f>
        <v>1500</v>
      </c>
      <c r="Q43" s="37">
        <f>IFERROR(__xludf.DUMMYFUNCTION("""COMPUTED_VALUE"""),850.0)</f>
        <v>850</v>
      </c>
      <c r="R43" s="37"/>
      <c r="S43" s="38">
        <f>IFERROR(__xludf.DUMMYFUNCTION("""COMPUTED_VALUE"""),45771.0)</f>
        <v>45771</v>
      </c>
      <c r="T43" s="35"/>
      <c r="U43" s="35"/>
      <c r="V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IFERROR(__xludf.DUMMYFUNCTION("""COMPUTED_VALUE"""),"ベンチャー")</f>
        <v>ベンチャー</v>
      </c>
      <c r="C44" s="35" t="str">
        <f>IFERROR(__xludf.DUMMYFUNCTION("""COMPUTED_VALUE"""),"ベンチャー")</f>
        <v>ベンチャー</v>
      </c>
      <c r="D44" s="35"/>
      <c r="E44" s="35" t="str">
        <f>IFERROR(__xludf.DUMMYFUNCTION("""COMPUTED_VALUE"""),"ブレンデッドモルト")</f>
        <v>ブレンデッドモルト</v>
      </c>
      <c r="F44" s="35"/>
      <c r="G44" s="35" t="str">
        <f>IFERROR(__xludf.DUMMYFUNCTION("""COMPUTED_VALUE"""),"イチローズモルト ダブルディスティラリーズ 秩父×駒ヶ岳 2021")</f>
        <v>イチローズモルト ダブルディスティラリーズ 秩父×駒ヶ岳 2021</v>
      </c>
      <c r="H44" s="35"/>
      <c r="I44" s="35"/>
      <c r="J44" s="35"/>
      <c r="K44" s="35"/>
      <c r="L44" s="35"/>
      <c r="M44" s="35"/>
      <c r="N44" s="36"/>
      <c r="O44" s="35"/>
      <c r="P44" s="37">
        <f>IFERROR(__xludf.DUMMYFUNCTION("""COMPUTED_VALUE"""),3500.0)</f>
        <v>3500</v>
      </c>
      <c r="Q44" s="37">
        <f>IFERROR(__xludf.DUMMYFUNCTION("""COMPUTED_VALUE"""),1900.0)</f>
        <v>1900</v>
      </c>
      <c r="R44" s="37"/>
      <c r="S44" s="38">
        <f>IFERROR(__xludf.DUMMYFUNCTION("""COMPUTED_VALUE"""),45064.0)</f>
        <v>45064</v>
      </c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0.14"/>
    <col customWidth="1" min="3" max="3" width="16.43"/>
    <col customWidth="1" hidden="1" min="4" max="4" width="21.14"/>
    <col customWidth="1" min="5" max="5" width="21.14"/>
    <col customWidth="1" hidden="1" min="6" max="6" width="5.71"/>
    <col customWidth="1" min="7" max="7" width="73.71"/>
    <col customWidth="1" min="8" max="8" width="32.71"/>
    <col customWidth="1" hidden="1" min="9" max="9" width="6.29"/>
    <col customWidth="1" hidden="1" min="10" max="10" width="12.0"/>
    <col customWidth="1" hidden="1" min="11" max="11" width="5.71"/>
    <col customWidth="1" hidden="1" min="12" max="12" width="32.71"/>
    <col customWidth="1" hidden="1" min="13" max="13" width="34.0"/>
    <col customWidth="1" min="14" max="14" width="5.71"/>
    <col customWidth="1" hidden="1" min="15" max="15" width="34.0"/>
    <col customWidth="1" min="16" max="18" width="7.43"/>
    <col customWidth="1" min="19" max="19" width="12.0"/>
    <col customWidth="1" min="20" max="22" width="34.0"/>
  </cols>
  <sheetData>
    <row r="1">
      <c r="A1" s="33" t="s">
        <v>712</v>
      </c>
      <c r="T1" s="33"/>
      <c r="U1" s="33"/>
      <c r="V1" s="33"/>
    </row>
    <row r="2">
      <c r="A2" s="34" t="str">
        <f>IFERROR(__xludf.DUMMYFUNCTION("QUERY('全ウイスキー'!A:S, ""SELECT * WHERE B contains 'マルス'"")"),"国")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IFERROR(__xludf.DUMMYFUNCTION("""COMPUTED_VALUE"""),"マルス")</f>
        <v>マルス</v>
      </c>
      <c r="C3" s="35" t="str">
        <f>IFERROR(__xludf.DUMMYFUNCTION("""COMPUTED_VALUE"""),"ブラックアダー")</f>
        <v>ブラックアダー</v>
      </c>
      <c r="D3" s="35" t="str">
        <f>IFERROR(__xludf.DUMMYFUNCTION("""COMPUTED_VALUE"""),"駒ヶ岳")</f>
        <v>駒ヶ岳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IFERROR(__xludf.DUMMYFUNCTION("""COMPUTED_VALUE"""),"#1647")</f>
        <v>#1647</v>
      </c>
      <c r="G3" s="35" t="str">
        <f>IFERROR(__xludf.DUMMYFUNCTION("""COMPUTED_VALUE"""),"ブラックアダー マルス 3年")</f>
        <v>ブラックアダー マルス 3年</v>
      </c>
      <c r="H3" s="35"/>
      <c r="I3" s="35"/>
      <c r="J3" s="35"/>
      <c r="K3" s="35"/>
      <c r="L3" s="35"/>
      <c r="M3" s="35"/>
      <c r="N3" s="36"/>
      <c r="O3" s="35"/>
      <c r="P3" s="37">
        <f>IFERROR(__xludf.DUMMYFUNCTION("""COMPUTED_VALUE"""),3000.0)</f>
        <v>3000</v>
      </c>
      <c r="Q3" s="37">
        <f>IFERROR(__xludf.DUMMYFUNCTION("""COMPUTED_VALUE"""),1600.0)</f>
        <v>1600</v>
      </c>
      <c r="R3" s="37"/>
      <c r="S3" s="38">
        <f>IFERROR(__xludf.DUMMYFUNCTION("""COMPUTED_VALUE"""),44936.0)</f>
        <v>44936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IFERROR(__xludf.DUMMYFUNCTION("""COMPUTED_VALUE"""),"マルス")</f>
        <v>マルス</v>
      </c>
      <c r="C4" s="35" t="str">
        <f>IFERROR(__xludf.DUMMYFUNCTION("""COMPUTED_VALUE"""),"マルス")</f>
        <v>マルス</v>
      </c>
      <c r="D4" s="35" t="str">
        <f>IFERROR(__xludf.DUMMYFUNCTION("""COMPUTED_VALUE"""),"駒ヶ岳")</f>
        <v>駒ヶ岳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IFERROR(__xludf.DUMMYFUNCTION("""COMPUTED_VALUE"""),"#3480")</f>
        <v>#3480</v>
      </c>
      <c r="G4" s="35" t="str">
        <f>IFERROR(__xludf.DUMMYFUNCTION("""COMPUTED_VALUE"""),"マルス モルトギャラリー")</f>
        <v>マルス モルトギャラリー</v>
      </c>
      <c r="H4" s="35" t="str">
        <f>IFERROR(__xludf.DUMMYFUNCTION("""COMPUTED_VALUE"""),"蒸溜所限定")</f>
        <v>蒸溜所限定</v>
      </c>
      <c r="I4" s="35"/>
      <c r="J4" s="35"/>
      <c r="K4" s="35"/>
      <c r="L4" s="35"/>
      <c r="M4" s="35"/>
      <c r="N4" s="36"/>
      <c r="O4" s="35"/>
      <c r="P4" s="37">
        <f>IFERROR(__xludf.DUMMYFUNCTION("""COMPUTED_VALUE"""),1800.0)</f>
        <v>1800</v>
      </c>
      <c r="Q4" s="37">
        <f>IFERROR(__xludf.DUMMYFUNCTION("""COMPUTED_VALUE"""),1000.0)</f>
        <v>1000</v>
      </c>
      <c r="R4" s="37"/>
      <c r="S4" s="38"/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IFERROR(__xludf.DUMMYFUNCTION("""COMPUTED_VALUE"""),"マルス")</f>
        <v>マルス</v>
      </c>
      <c r="C5" s="35" t="str">
        <f>IFERROR(__xludf.DUMMYFUNCTION("""COMPUTED_VALUE"""),"マルス")</f>
        <v>マルス</v>
      </c>
      <c r="D5" s="35" t="str">
        <f>IFERROR(__xludf.DUMMYFUNCTION("""COMPUTED_VALUE"""),"駒ヶ岳")</f>
        <v>駒ヶ岳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IFERROR(__xludf.DUMMYFUNCTION("""COMPUTED_VALUE"""),"#5242")</f>
        <v>#5242</v>
      </c>
      <c r="G5" s="35" t="str">
        <f>IFERROR(__xludf.DUMMYFUNCTION("""COMPUTED_VALUE"""),"マルス モルトギャラリー")</f>
        <v>マルス モルトギャラリー</v>
      </c>
      <c r="H5" s="35" t="str">
        <f>IFERROR(__xludf.DUMMYFUNCTION("""COMPUTED_VALUE"""),"蒸溜所限定")</f>
        <v>蒸溜所限定</v>
      </c>
      <c r="I5" s="35"/>
      <c r="J5" s="35"/>
      <c r="K5" s="35"/>
      <c r="L5" s="35"/>
      <c r="M5" s="35"/>
      <c r="N5" s="36"/>
      <c r="O5" s="35"/>
      <c r="P5" s="37">
        <f>IFERROR(__xludf.DUMMYFUNCTION("""COMPUTED_VALUE"""),1800.0)</f>
        <v>1800</v>
      </c>
      <c r="Q5" s="37">
        <f>IFERROR(__xludf.DUMMYFUNCTION("""COMPUTED_VALUE"""),1000.0)</f>
        <v>1000</v>
      </c>
      <c r="R5" s="37"/>
      <c r="S5" s="38"/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IFERROR(__xludf.DUMMYFUNCTION("""COMPUTED_VALUE"""),"マルス")</f>
        <v>マルス</v>
      </c>
      <c r="C6" s="35" t="str">
        <f>IFERROR(__xludf.DUMMYFUNCTION("""COMPUTED_VALUE"""),"マルス")</f>
        <v>マルス</v>
      </c>
      <c r="D6" s="35"/>
      <c r="E6" s="35" t="str">
        <f>IFERROR(__xludf.DUMMYFUNCTION("""COMPUTED_VALUE"""),"シングルカスク")</f>
        <v>シングルカスク</v>
      </c>
      <c r="F6" s="35" t="str">
        <f>IFERROR(__xludf.DUMMYFUNCTION("""COMPUTED_VALUE"""),"#5111")</f>
        <v>#5111</v>
      </c>
      <c r="G6" s="35" t="str">
        <f>IFERROR(__xludf.DUMMYFUNCTION("""COMPUTED_VALUE"""),"マルスモルト ル・パピヨン第2弾 アオスジアゲハ")</f>
        <v>マルスモルト ル・パピヨン第2弾 アオスジアゲハ</v>
      </c>
      <c r="H6" s="35" t="str">
        <f>IFERROR(__xludf.DUMMYFUNCTION("""COMPUTED_VALUE"""),"ル・パピヨンシリーズ")</f>
        <v>ル・パピヨンシリーズ</v>
      </c>
      <c r="I6" s="35"/>
      <c r="J6" s="35"/>
      <c r="K6" s="35"/>
      <c r="L6" s="35"/>
      <c r="M6" s="35"/>
      <c r="N6" s="36"/>
      <c r="O6" s="35"/>
      <c r="P6" s="37">
        <f>IFERROR(__xludf.DUMMYFUNCTION("""COMPUTED_VALUE"""),2000.0)</f>
        <v>2000</v>
      </c>
      <c r="Q6" s="37">
        <f>IFERROR(__xludf.DUMMYFUNCTION("""COMPUTED_VALUE"""),1100.0)</f>
        <v>1100</v>
      </c>
      <c r="R6" s="37"/>
      <c r="S6" s="38">
        <f>IFERROR(__xludf.DUMMYFUNCTION("""COMPUTED_VALUE"""),45045.0)</f>
        <v>45045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IFERROR(__xludf.DUMMYFUNCTION("""COMPUTED_VALUE"""),"マルス")</f>
        <v>マルス</v>
      </c>
      <c r="C7" s="35" t="str">
        <f>IFERROR(__xludf.DUMMYFUNCTION("""COMPUTED_VALUE"""),"マルス")</f>
        <v>マルス</v>
      </c>
      <c r="D7" s="35"/>
      <c r="E7" s="35" t="str">
        <f>IFERROR(__xludf.DUMMYFUNCTION("""COMPUTED_VALUE"""),"シングルカスク")</f>
        <v>シングルカスク</v>
      </c>
      <c r="F7" s="35" t="str">
        <f>IFERROR(__xludf.DUMMYFUNCTION("""COMPUTED_VALUE"""),"#1860")</f>
        <v>#1860</v>
      </c>
      <c r="G7" s="35" t="str">
        <f>IFERROR(__xludf.DUMMYFUNCTION("""COMPUTED_VALUE"""),"マルスモルト ル・パピヨン第3弾 ミヤマシロチョウ")</f>
        <v>マルスモルト ル・パピヨン第3弾 ミヤマシロチョウ</v>
      </c>
      <c r="H7" s="35" t="str">
        <f>IFERROR(__xludf.DUMMYFUNCTION("""COMPUTED_VALUE"""),"ル・パピヨンシリーズ")</f>
        <v>ル・パピヨンシリーズ</v>
      </c>
      <c r="I7" s="35"/>
      <c r="J7" s="35"/>
      <c r="K7" s="35"/>
      <c r="L7" s="35"/>
      <c r="M7" s="35"/>
      <c r="N7" s="36"/>
      <c r="O7" s="35"/>
      <c r="P7" s="37">
        <f>IFERROR(__xludf.DUMMYFUNCTION("""COMPUTED_VALUE"""),2000.0)</f>
        <v>2000</v>
      </c>
      <c r="Q7" s="37">
        <f>IFERROR(__xludf.DUMMYFUNCTION("""COMPUTED_VALUE"""),1100.0)</f>
        <v>1100</v>
      </c>
      <c r="R7" s="37"/>
      <c r="S7" s="38">
        <f>IFERROR(__xludf.DUMMYFUNCTION("""COMPUTED_VALUE"""),45043.0)</f>
        <v>45043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IFERROR(__xludf.DUMMYFUNCTION("""COMPUTED_VALUE"""),"マルス")</f>
        <v>マルス</v>
      </c>
      <c r="C8" s="35" t="str">
        <f>IFERROR(__xludf.DUMMYFUNCTION("""COMPUTED_VALUE"""),"マルス")</f>
        <v>マルス</v>
      </c>
      <c r="D8" s="35"/>
      <c r="E8" s="35" t="str">
        <f>IFERROR(__xludf.DUMMYFUNCTION("""COMPUTED_VALUE"""),"シングルカスク")</f>
        <v>シングルカスク</v>
      </c>
      <c r="F8" s="35" t="str">
        <f>IFERROR(__xludf.DUMMYFUNCTION("""COMPUTED_VALUE"""),"#2008")</f>
        <v>#2008</v>
      </c>
      <c r="G8" s="35" t="str">
        <f>IFERROR(__xludf.DUMMYFUNCTION("""COMPUTED_VALUE"""),"マルスモルト ル・パピヨン第4弾 ツマベニチョウ")</f>
        <v>マルスモルト ル・パピヨン第4弾 ツマベニチョウ</v>
      </c>
      <c r="H8" s="35" t="str">
        <f>IFERROR(__xludf.DUMMYFUNCTION("""COMPUTED_VALUE"""),"ル・パピヨンシリーズ")</f>
        <v>ル・パピヨンシリーズ</v>
      </c>
      <c r="I8" s="35"/>
      <c r="J8" s="35"/>
      <c r="K8" s="35"/>
      <c r="L8" s="35"/>
      <c r="M8" s="35"/>
      <c r="N8" s="36"/>
      <c r="O8" s="35"/>
      <c r="P8" s="37">
        <f>IFERROR(__xludf.DUMMYFUNCTION("""COMPUTED_VALUE"""),2000.0)</f>
        <v>2000</v>
      </c>
      <c r="Q8" s="37">
        <f>IFERROR(__xludf.DUMMYFUNCTION("""COMPUTED_VALUE"""),1100.0)</f>
        <v>1100</v>
      </c>
      <c r="R8" s="37"/>
      <c r="S8" s="38">
        <f>IFERROR(__xludf.DUMMYFUNCTION("""COMPUTED_VALUE"""),45042.0)</f>
        <v>45042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IFERROR(__xludf.DUMMYFUNCTION("""COMPUTED_VALUE"""),"マルス")</f>
        <v>マルス</v>
      </c>
      <c r="C9" s="35" t="str">
        <f>IFERROR(__xludf.DUMMYFUNCTION("""COMPUTED_VALUE"""),"マルス")</f>
        <v>マルス</v>
      </c>
      <c r="D9" s="35"/>
      <c r="E9" s="35" t="str">
        <f>IFERROR(__xludf.DUMMYFUNCTION("""COMPUTED_VALUE"""),"シングルカスク")</f>
        <v>シングルカスク</v>
      </c>
      <c r="F9" s="35" t="str">
        <f>IFERROR(__xludf.DUMMYFUNCTION("""COMPUTED_VALUE"""),"#1870")</f>
        <v>#1870</v>
      </c>
      <c r="G9" s="35" t="str">
        <f>IFERROR(__xludf.DUMMYFUNCTION("""COMPUTED_VALUE"""),"マルスモルト ル・パピヨン第5弾 ミヤマカラスアゲハ")</f>
        <v>マルスモルト ル・パピヨン第5弾 ミヤマカラスアゲハ</v>
      </c>
      <c r="H9" s="35" t="str">
        <f>IFERROR(__xludf.DUMMYFUNCTION("""COMPUTED_VALUE"""),"ル・パピヨンシリーズ")</f>
        <v>ル・パピヨンシリーズ</v>
      </c>
      <c r="I9" s="35"/>
      <c r="J9" s="35"/>
      <c r="K9" s="35"/>
      <c r="L9" s="35"/>
      <c r="M9" s="35"/>
      <c r="N9" s="36"/>
      <c r="O9" s="35"/>
      <c r="P9" s="37">
        <f>IFERROR(__xludf.DUMMYFUNCTION("""COMPUTED_VALUE"""),2000.0)</f>
        <v>2000</v>
      </c>
      <c r="Q9" s="37">
        <f>IFERROR(__xludf.DUMMYFUNCTION("""COMPUTED_VALUE"""),1100.0)</f>
        <v>1100</v>
      </c>
      <c r="R9" s="37"/>
      <c r="S9" s="38">
        <f>IFERROR(__xludf.DUMMYFUNCTION("""COMPUTED_VALUE"""),45040.0)</f>
        <v>45040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IFERROR(__xludf.DUMMYFUNCTION("""COMPUTED_VALUE"""),"マルス")</f>
        <v>マルス</v>
      </c>
      <c r="C10" s="35" t="str">
        <f>IFERROR(__xludf.DUMMYFUNCTION("""COMPUTED_VALUE"""),"マルス")</f>
        <v>マルス</v>
      </c>
      <c r="D10" s="35"/>
      <c r="E10" s="35" t="str">
        <f>IFERROR(__xludf.DUMMYFUNCTION("""COMPUTED_VALUE"""),"シングルカスク")</f>
        <v>シングルカスク</v>
      </c>
      <c r="F10" s="35" t="str">
        <f>IFERROR(__xludf.DUMMYFUNCTION("""COMPUTED_VALUE"""),"#5152")</f>
        <v>#5152</v>
      </c>
      <c r="G10" s="35" t="str">
        <f>IFERROR(__xludf.DUMMYFUNCTION("""COMPUTED_VALUE"""),"マルスモルト ル・パピヨン第6弾 イシガケチョウ")</f>
        <v>マルスモルト ル・パピヨン第6弾 イシガケチョウ</v>
      </c>
      <c r="H10" s="35" t="str">
        <f>IFERROR(__xludf.DUMMYFUNCTION("""COMPUTED_VALUE"""),"ル・パピヨンシリーズ")</f>
        <v>ル・パピヨンシリーズ</v>
      </c>
      <c r="I10" s="35"/>
      <c r="J10" s="35"/>
      <c r="K10" s="35"/>
      <c r="L10" s="35"/>
      <c r="M10" s="35"/>
      <c r="N10" s="36"/>
      <c r="O10" s="35"/>
      <c r="P10" s="37">
        <f>IFERROR(__xludf.DUMMYFUNCTION("""COMPUTED_VALUE"""),2000.0)</f>
        <v>2000</v>
      </c>
      <c r="Q10" s="37">
        <f>IFERROR(__xludf.DUMMYFUNCTION("""COMPUTED_VALUE"""),1100.0)</f>
        <v>1100</v>
      </c>
      <c r="R10" s="37"/>
      <c r="S10" s="38">
        <f>IFERROR(__xludf.DUMMYFUNCTION("""COMPUTED_VALUE"""),45038.0)</f>
        <v>45038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IFERROR(__xludf.DUMMYFUNCTION("""COMPUTED_VALUE"""),"マルス")</f>
        <v>マルス</v>
      </c>
      <c r="C11" s="35" t="str">
        <f>IFERROR(__xludf.DUMMYFUNCTION("""COMPUTED_VALUE"""),"マルス")</f>
        <v>マルス</v>
      </c>
      <c r="D11" s="35"/>
      <c r="E11" s="35" t="str">
        <f>IFERROR(__xludf.DUMMYFUNCTION("""COMPUTED_VALUE"""),"シングルカスク")</f>
        <v>シングルカスク</v>
      </c>
      <c r="F11" s="35" t="str">
        <f>IFERROR(__xludf.DUMMYFUNCTION("""COMPUTED_VALUE"""),"#1698")</f>
        <v>#1698</v>
      </c>
      <c r="G11" s="35" t="str">
        <f>IFERROR(__xludf.DUMMYFUNCTION("""COMPUTED_VALUE"""),"マルスモルト ル・パピヨン第7弾 ギフチョウ")</f>
        <v>マルスモルト ル・パピヨン第7弾 ギフチョウ</v>
      </c>
      <c r="H11" s="35" t="str">
        <f>IFERROR(__xludf.DUMMYFUNCTION("""COMPUTED_VALUE"""),"ル・パピヨンシリーズ")</f>
        <v>ル・パピヨンシリーズ</v>
      </c>
      <c r="I11" s="35"/>
      <c r="J11" s="35"/>
      <c r="K11" s="35"/>
      <c r="L11" s="35"/>
      <c r="M11" s="35"/>
      <c r="N11" s="36"/>
      <c r="O11" s="35"/>
      <c r="P11" s="37">
        <f>IFERROR(__xludf.DUMMYFUNCTION("""COMPUTED_VALUE"""),2200.0)</f>
        <v>2200</v>
      </c>
      <c r="Q11" s="37">
        <f>IFERROR(__xludf.DUMMYFUNCTION("""COMPUTED_VALUE"""),1200.0)</f>
        <v>1200</v>
      </c>
      <c r="R11" s="37"/>
      <c r="S11" s="38">
        <f>IFERROR(__xludf.DUMMYFUNCTION("""COMPUTED_VALUE"""),45036.0)</f>
        <v>45036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IFERROR(__xludf.DUMMYFUNCTION("""COMPUTED_VALUE"""),"マルス")</f>
        <v>マルス</v>
      </c>
      <c r="C12" s="35" t="str">
        <f>IFERROR(__xludf.DUMMYFUNCTION("""COMPUTED_VALUE"""),"マルス")</f>
        <v>マルス</v>
      </c>
      <c r="D12" s="35"/>
      <c r="E12" s="35" t="str">
        <f>IFERROR(__xludf.DUMMYFUNCTION("""COMPUTED_VALUE"""),"ダブルカスク")</f>
        <v>ダブルカスク</v>
      </c>
      <c r="F12" s="35" t="str">
        <f>IFERROR(__xludf.DUMMYFUNCTION("""COMPUTED_VALUE"""),"#2021 #2024")</f>
        <v>#2021 #2024</v>
      </c>
      <c r="G12" s="35" t="str">
        <f>IFERROR(__xludf.DUMMYFUNCTION("""COMPUTED_VALUE"""),"マルスモルト ル・パピヨン第8弾 ヤクシマルシジミ")</f>
        <v>マルスモルト ル・パピヨン第8弾 ヤクシマルシジミ</v>
      </c>
      <c r="H12" s="35" t="str">
        <f>IFERROR(__xludf.DUMMYFUNCTION("""COMPUTED_VALUE"""),"ル・パピヨンシリーズ")</f>
        <v>ル・パピヨンシリーズ</v>
      </c>
      <c r="I12" s="35"/>
      <c r="J12" s="35"/>
      <c r="K12" s="35"/>
      <c r="L12" s="35"/>
      <c r="M12" s="35"/>
      <c r="N12" s="36"/>
      <c r="O12" s="35"/>
      <c r="P12" s="37">
        <f>IFERROR(__xludf.DUMMYFUNCTION("""COMPUTED_VALUE"""),2000.0)</f>
        <v>2000</v>
      </c>
      <c r="Q12" s="37">
        <f>IFERROR(__xludf.DUMMYFUNCTION("""COMPUTED_VALUE"""),1100.0)</f>
        <v>1100</v>
      </c>
      <c r="R12" s="37"/>
      <c r="S12" s="38">
        <f>IFERROR(__xludf.DUMMYFUNCTION("""COMPUTED_VALUE"""),45034.0)</f>
        <v>45034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IFERROR(__xludf.DUMMYFUNCTION("""COMPUTED_VALUE"""),"マルス")</f>
        <v>マルス</v>
      </c>
      <c r="C13" s="35" t="str">
        <f>IFERROR(__xludf.DUMMYFUNCTION("""COMPUTED_VALUE"""),"マルス")</f>
        <v>マルス</v>
      </c>
      <c r="D13" s="35"/>
      <c r="E13" s="35" t="str">
        <f>IFERROR(__xludf.DUMMYFUNCTION("""COMPUTED_VALUE"""),"シングルカスク")</f>
        <v>シングルカスク</v>
      </c>
      <c r="F13" s="35" t="str">
        <f>IFERROR(__xludf.DUMMYFUNCTION("""COMPUTED_VALUE"""),"#3397")</f>
        <v>#3397</v>
      </c>
      <c r="G13" s="35" t="str">
        <f>IFERROR(__xludf.DUMMYFUNCTION("""COMPUTED_VALUE"""),"マルスモルト ル・パピヨン第9弾 クモマツマキチョウ")</f>
        <v>マルスモルト ル・パピヨン第9弾 クモマツマキチョウ</v>
      </c>
      <c r="H13" s="35" t="str">
        <f>IFERROR(__xludf.DUMMYFUNCTION("""COMPUTED_VALUE"""),"ル・パピヨンシリーズ")</f>
        <v>ル・パピヨンシリーズ</v>
      </c>
      <c r="I13" s="35"/>
      <c r="J13" s="35"/>
      <c r="K13" s="35"/>
      <c r="L13" s="35"/>
      <c r="M13" s="35"/>
      <c r="N13" s="36"/>
      <c r="O13" s="35"/>
      <c r="P13" s="37">
        <f>IFERROR(__xludf.DUMMYFUNCTION("""COMPUTED_VALUE"""),2000.0)</f>
        <v>2000</v>
      </c>
      <c r="Q13" s="37">
        <f>IFERROR(__xludf.DUMMYFUNCTION("""COMPUTED_VALUE"""),1100.0)</f>
        <v>1100</v>
      </c>
      <c r="R13" s="37"/>
      <c r="S13" s="38">
        <f>IFERROR(__xludf.DUMMYFUNCTION("""COMPUTED_VALUE"""),45033.0)</f>
        <v>45033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IFERROR(__xludf.DUMMYFUNCTION("""COMPUTED_VALUE"""),"マルス")</f>
        <v>マルス</v>
      </c>
      <c r="C14" s="35" t="str">
        <f>IFERROR(__xludf.DUMMYFUNCTION("""COMPUTED_VALUE"""),"マルス")</f>
        <v>マルス</v>
      </c>
      <c r="D14" s="35"/>
      <c r="E14" s="35" t="str">
        <f>IFERROR(__xludf.DUMMYFUNCTION("""COMPUTED_VALUE"""),"シングルカスク")</f>
        <v>シングルカスク</v>
      </c>
      <c r="F14" s="35" t="str">
        <f>IFERROR(__xludf.DUMMYFUNCTION("""COMPUTED_VALUE"""),"#3356")</f>
        <v>#3356</v>
      </c>
      <c r="G14" s="35" t="str">
        <f>IFERROR(__xludf.DUMMYFUNCTION("""COMPUTED_VALUE"""),"マルスモルト ル・パピヨン第10弾 クジャクチョウ")</f>
        <v>マルスモルト ル・パピヨン第10弾 クジャクチョウ</v>
      </c>
      <c r="H14" s="35" t="str">
        <f>IFERROR(__xludf.DUMMYFUNCTION("""COMPUTED_VALUE"""),"ル・パピヨンシリーズ")</f>
        <v>ル・パピヨンシリーズ</v>
      </c>
      <c r="I14" s="35"/>
      <c r="J14" s="35"/>
      <c r="K14" s="35"/>
      <c r="L14" s="35"/>
      <c r="M14" s="35"/>
      <c r="N14" s="36"/>
      <c r="O14" s="35"/>
      <c r="P14" s="37">
        <f>IFERROR(__xludf.DUMMYFUNCTION("""COMPUTED_VALUE"""),2000.0)</f>
        <v>2000</v>
      </c>
      <c r="Q14" s="37">
        <f>IFERROR(__xludf.DUMMYFUNCTION("""COMPUTED_VALUE"""),1100.0)</f>
        <v>1100</v>
      </c>
      <c r="R14" s="37"/>
      <c r="S14" s="38">
        <f>IFERROR(__xludf.DUMMYFUNCTION("""COMPUTED_VALUE"""),45030.0)</f>
        <v>45030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IFERROR(__xludf.DUMMYFUNCTION("""COMPUTED_VALUE"""),"マルス")</f>
        <v>マルス</v>
      </c>
      <c r="C15" s="35" t="str">
        <f>IFERROR(__xludf.DUMMYFUNCTION("""COMPUTED_VALUE"""),"マルス")</f>
        <v>マルス</v>
      </c>
      <c r="D15" s="35"/>
      <c r="E15" s="35" t="str">
        <f>IFERROR(__xludf.DUMMYFUNCTION("""COMPUTED_VALUE"""),"ダブルカスク")</f>
        <v>ダブルカスク</v>
      </c>
      <c r="F15" s="35" t="str">
        <f>IFERROR(__xludf.DUMMYFUNCTION("""COMPUTED_VALUE"""),"#T262 #284")</f>
        <v>#T262 #284</v>
      </c>
      <c r="G15" s="35" t="str">
        <f>IFERROR(__xludf.DUMMYFUNCTION("""COMPUTED_VALUE"""),"マルスモルト ル・パピヨン第11弾 モンキアゲハ")</f>
        <v>マルスモルト ル・パピヨン第11弾 モンキアゲハ</v>
      </c>
      <c r="H15" s="35" t="str">
        <f>IFERROR(__xludf.DUMMYFUNCTION("""COMPUTED_VALUE"""),"ル・パピヨンシリーズ")</f>
        <v>ル・パピヨンシリーズ</v>
      </c>
      <c r="I15" s="35"/>
      <c r="J15" s="35"/>
      <c r="K15" s="35"/>
      <c r="L15" s="35"/>
      <c r="M15" s="35"/>
      <c r="N15" s="36"/>
      <c r="O15" s="35"/>
      <c r="P15" s="37">
        <f>IFERROR(__xludf.DUMMYFUNCTION("""COMPUTED_VALUE"""),2000.0)</f>
        <v>2000</v>
      </c>
      <c r="Q15" s="37">
        <f>IFERROR(__xludf.DUMMYFUNCTION("""COMPUTED_VALUE"""),1100.0)</f>
        <v>1100</v>
      </c>
      <c r="R15" s="37"/>
      <c r="S15" s="38">
        <f>IFERROR(__xludf.DUMMYFUNCTION("""COMPUTED_VALUE"""),45029.0)</f>
        <v>45029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IFERROR(__xludf.DUMMYFUNCTION("""COMPUTED_VALUE"""),"マルス")</f>
        <v>マルス</v>
      </c>
      <c r="C16" s="35" t="str">
        <f>IFERROR(__xludf.DUMMYFUNCTION("""COMPUTED_VALUE"""),"マルス")</f>
        <v>マルス</v>
      </c>
      <c r="D16" s="35"/>
      <c r="E16" s="35" t="str">
        <f>IFERROR(__xludf.DUMMYFUNCTION("""COMPUTED_VALUE"""),"シングルカスク")</f>
        <v>シングルカスク</v>
      </c>
      <c r="F16" s="35" t="str">
        <f>IFERROR(__xludf.DUMMYFUNCTION("""COMPUTED_VALUE"""),"#1705")</f>
        <v>#1705</v>
      </c>
      <c r="G16" s="35" t="str">
        <f>IFERROR(__xludf.DUMMYFUNCTION("""COMPUTED_VALUE"""),"マルスモルト ル・パピヨン第13弾 アイノミドリシジミ")</f>
        <v>マルスモルト ル・パピヨン第13弾 アイノミドリシジミ</v>
      </c>
      <c r="H16" s="35" t="str">
        <f>IFERROR(__xludf.DUMMYFUNCTION("""COMPUTED_VALUE"""),"ル・パピヨンシリーズ")</f>
        <v>ル・パピヨンシリーズ</v>
      </c>
      <c r="I16" s="35"/>
      <c r="J16" s="35"/>
      <c r="K16" s="35"/>
      <c r="L16" s="35"/>
      <c r="M16" s="35"/>
      <c r="N16" s="36"/>
      <c r="O16" s="35"/>
      <c r="P16" s="37">
        <f>IFERROR(__xludf.DUMMYFUNCTION("""COMPUTED_VALUE"""),2200.0)</f>
        <v>2200</v>
      </c>
      <c r="Q16" s="37">
        <f>IFERROR(__xludf.DUMMYFUNCTION("""COMPUTED_VALUE"""),1200.0)</f>
        <v>1200</v>
      </c>
      <c r="R16" s="37"/>
      <c r="S16" s="38">
        <f>IFERROR(__xludf.DUMMYFUNCTION("""COMPUTED_VALUE"""),45022.0)</f>
        <v>45022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IFERROR(__xludf.DUMMYFUNCTION("""COMPUTED_VALUE"""),"マルス")</f>
        <v>マルス</v>
      </c>
      <c r="C17" s="35" t="str">
        <f>IFERROR(__xludf.DUMMYFUNCTION("""COMPUTED_VALUE"""),"マルス")</f>
        <v>マルス</v>
      </c>
      <c r="D17" s="35"/>
      <c r="E17" s="35" t="str">
        <f>IFERROR(__xludf.DUMMYFUNCTION("""COMPUTED_VALUE"""),"ダブルカスク")</f>
        <v>ダブルカスク</v>
      </c>
      <c r="F17" s="35" t="str">
        <f>IFERROR(__xludf.DUMMYFUNCTION("""COMPUTED_VALUE"""),"#1483 #3433")</f>
        <v>#1483 #3433</v>
      </c>
      <c r="G17" s="35" t="str">
        <f>IFERROR(__xludf.DUMMYFUNCTION("""COMPUTED_VALUE"""),"マルスモルト ル・パピヨン第14弾 ヒメシロチョウ")</f>
        <v>マルスモルト ル・パピヨン第14弾 ヒメシロチョウ</v>
      </c>
      <c r="H17" s="35" t="str">
        <f>IFERROR(__xludf.DUMMYFUNCTION("""COMPUTED_VALUE"""),"ル・パピヨンシリーズ")</f>
        <v>ル・パピヨンシリーズ</v>
      </c>
      <c r="I17" s="35"/>
      <c r="J17" s="35"/>
      <c r="K17" s="35"/>
      <c r="L17" s="35"/>
      <c r="M17" s="35"/>
      <c r="N17" s="36"/>
      <c r="O17" s="35"/>
      <c r="P17" s="37">
        <f>IFERROR(__xludf.DUMMYFUNCTION("""COMPUTED_VALUE"""),2000.0)</f>
        <v>2000</v>
      </c>
      <c r="Q17" s="37">
        <f>IFERROR(__xludf.DUMMYFUNCTION("""COMPUTED_VALUE"""),1100.0)</f>
        <v>1100</v>
      </c>
      <c r="R17" s="37"/>
      <c r="S17" s="38">
        <f>IFERROR(__xludf.DUMMYFUNCTION("""COMPUTED_VALUE"""),45028.0)</f>
        <v>45028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IFERROR(__xludf.DUMMYFUNCTION("""COMPUTED_VALUE"""),"マルス")</f>
        <v>マルス</v>
      </c>
      <c r="C18" s="35" t="str">
        <f>IFERROR(__xludf.DUMMYFUNCTION("""COMPUTED_VALUE"""),"マルス")</f>
        <v>マルス</v>
      </c>
      <c r="D18" s="35"/>
      <c r="E18" s="35" t="str">
        <f>IFERROR(__xludf.DUMMYFUNCTION("""COMPUTED_VALUE"""),"ダブルカスク")</f>
        <v>ダブルカスク</v>
      </c>
      <c r="F18" s="35" t="str">
        <f>IFERROR(__xludf.DUMMYFUNCTION("""COMPUTED_VALUE"""),"#3368 #3441")</f>
        <v>#3368 #3441</v>
      </c>
      <c r="G18" s="35" t="str">
        <f>IFERROR(__xludf.DUMMYFUNCTION("""COMPUTED_VALUE"""),"マルスモルト ル・パピヨン第15弾 ミヤマシジミ")</f>
        <v>マルスモルト ル・パピヨン第15弾 ミヤマシジミ</v>
      </c>
      <c r="H18" s="35" t="str">
        <f>IFERROR(__xludf.DUMMYFUNCTION("""COMPUTED_VALUE"""),"ル・パピヨンシリーズ")</f>
        <v>ル・パピヨンシリーズ</v>
      </c>
      <c r="I18" s="35"/>
      <c r="J18" s="35"/>
      <c r="K18" s="35"/>
      <c r="L18" s="35"/>
      <c r="M18" s="35"/>
      <c r="N18" s="36"/>
      <c r="O18" s="35"/>
      <c r="P18" s="37">
        <f>IFERROR(__xludf.DUMMYFUNCTION("""COMPUTED_VALUE"""),2200.0)</f>
        <v>2200</v>
      </c>
      <c r="Q18" s="37">
        <f>IFERROR(__xludf.DUMMYFUNCTION("""COMPUTED_VALUE"""),1200.0)</f>
        <v>1200</v>
      </c>
      <c r="R18" s="37"/>
      <c r="S18" s="38">
        <f>IFERROR(__xludf.DUMMYFUNCTION("""COMPUTED_VALUE"""),45232.0)</f>
        <v>45232</v>
      </c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IFERROR(__xludf.DUMMYFUNCTION("""COMPUTED_VALUE"""),"マルス")</f>
        <v>マルス</v>
      </c>
      <c r="C19" s="35" t="str">
        <f>IFERROR(__xludf.DUMMYFUNCTION("""COMPUTED_VALUE"""),"マルス")</f>
        <v>マルス</v>
      </c>
      <c r="D19" s="35"/>
      <c r="E19" s="35" t="str">
        <f>IFERROR(__xludf.DUMMYFUNCTION("""COMPUTED_VALUE"""),"シングルカスク")</f>
        <v>シングルカスク</v>
      </c>
      <c r="F19" s="35" t="str">
        <f>IFERROR(__xludf.DUMMYFUNCTION("""COMPUTED_VALUE"""),"#2029")</f>
        <v>#2029</v>
      </c>
      <c r="G19" s="35" t="str">
        <f>IFERROR(__xludf.DUMMYFUNCTION("""COMPUTED_VALUE"""),"マルスモルト ル・パピヨン第16弾 ナガサキアゲハ")</f>
        <v>マルスモルト ル・パピヨン第16弾 ナガサキアゲハ</v>
      </c>
      <c r="H19" s="35" t="str">
        <f>IFERROR(__xludf.DUMMYFUNCTION("""COMPUTED_VALUE"""),"ル・パピヨンシリーズ")</f>
        <v>ル・パピヨンシリーズ</v>
      </c>
      <c r="I19" s="35"/>
      <c r="J19" s="35"/>
      <c r="K19" s="35"/>
      <c r="L19" s="35"/>
      <c r="M19" s="35"/>
      <c r="N19" s="36"/>
      <c r="O19" s="35"/>
      <c r="P19" s="37">
        <f>IFERROR(__xludf.DUMMYFUNCTION("""COMPUTED_VALUE"""),2200.0)</f>
        <v>2200</v>
      </c>
      <c r="Q19" s="37">
        <f>IFERROR(__xludf.DUMMYFUNCTION("""COMPUTED_VALUE"""),1200.0)</f>
        <v>1200</v>
      </c>
      <c r="R19" s="37"/>
      <c r="S19" s="38">
        <f>IFERROR(__xludf.DUMMYFUNCTION("""COMPUTED_VALUE"""),45500.0)</f>
        <v>45500</v>
      </c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IFERROR(__xludf.DUMMYFUNCTION("""COMPUTED_VALUE"""),"マルス")</f>
        <v>マルス</v>
      </c>
      <c r="C20" s="35" t="str">
        <f>IFERROR(__xludf.DUMMYFUNCTION("""COMPUTED_VALUE"""),"マルス")</f>
        <v>マルス</v>
      </c>
      <c r="D20" s="35"/>
      <c r="E20" s="35" t="str">
        <f>IFERROR(__xludf.DUMMYFUNCTION("""COMPUTED_VALUE"""),"トリプルカスク")</f>
        <v>トリプルカスク</v>
      </c>
      <c r="F20" s="35" t="str">
        <f>IFERROR(__xludf.DUMMYFUNCTION("""COMPUTED_VALUE"""),"#5118 #T521 #522")</f>
        <v>#5118 #T521 #522</v>
      </c>
      <c r="G20" s="35" t="str">
        <f>IFERROR(__xludf.DUMMYFUNCTION("""COMPUTED_VALUE"""),"マルスモルト ル・パピヨン第17弾 ルーミスシジミ")</f>
        <v>マルスモルト ル・パピヨン第17弾 ルーミスシジミ</v>
      </c>
      <c r="H20" s="35" t="str">
        <f>IFERROR(__xludf.DUMMYFUNCTION("""COMPUTED_VALUE"""),"ル・パピヨンシリーズ")</f>
        <v>ル・パピヨンシリーズ</v>
      </c>
      <c r="I20" s="35"/>
      <c r="J20" s="35"/>
      <c r="K20" s="35"/>
      <c r="L20" s="35"/>
      <c r="M20" s="35"/>
      <c r="N20" s="36"/>
      <c r="O20" s="35"/>
      <c r="P20" s="37">
        <f>IFERROR(__xludf.DUMMYFUNCTION("""COMPUTED_VALUE"""),2200.0)</f>
        <v>2200</v>
      </c>
      <c r="Q20" s="37">
        <f>IFERROR(__xludf.DUMMYFUNCTION("""COMPUTED_VALUE"""),1200.0)</f>
        <v>1200</v>
      </c>
      <c r="R20" s="37"/>
      <c r="S20" s="38">
        <f>IFERROR(__xludf.DUMMYFUNCTION("""COMPUTED_VALUE"""),45673.0)</f>
        <v>45673</v>
      </c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IFERROR(__xludf.DUMMYFUNCTION("""COMPUTED_VALUE"""),"マルス")</f>
        <v>マルス</v>
      </c>
      <c r="C21" s="35" t="str">
        <f>IFERROR(__xludf.DUMMYFUNCTION("""COMPUTED_VALUE"""),"マルス")</f>
        <v>マルス</v>
      </c>
      <c r="D21" s="35"/>
      <c r="E21" s="35" t="str">
        <f>IFERROR(__xludf.DUMMYFUNCTION("""COMPUTED_VALUE"""),"トリプルカスク")</f>
        <v>トリプルカスク</v>
      </c>
      <c r="F21" s="35" t="str">
        <f>IFERROR(__xludf.DUMMYFUNCTION("""COMPUTED_VALUE"""),"#6280 #6281 #6282")</f>
        <v>#6280 #6281 #6282</v>
      </c>
      <c r="G21" s="35" t="str">
        <f>IFERROR(__xludf.DUMMYFUNCTION("""COMPUTED_VALUE"""),"マルスモルト ル・パピヨン第18弾 ミヤマモンキチョウ")</f>
        <v>マルスモルト ル・パピヨン第18弾 ミヤマモンキチョウ</v>
      </c>
      <c r="H21" s="35" t="str">
        <f>IFERROR(__xludf.DUMMYFUNCTION("""COMPUTED_VALUE"""),"ル・パピヨンシリーズ")</f>
        <v>ル・パピヨンシリーズ</v>
      </c>
      <c r="I21" s="35"/>
      <c r="J21" s="35"/>
      <c r="K21" s="35"/>
      <c r="L21" s="35"/>
      <c r="M21" s="35"/>
      <c r="N21" s="36"/>
      <c r="O21" s="35"/>
      <c r="P21" s="37">
        <f>IFERROR(__xludf.DUMMYFUNCTION("""COMPUTED_VALUE"""),2200.0)</f>
        <v>2200</v>
      </c>
      <c r="Q21" s="37">
        <f>IFERROR(__xludf.DUMMYFUNCTION("""COMPUTED_VALUE"""),1200.0)</f>
        <v>1200</v>
      </c>
      <c r="R21" s="37"/>
      <c r="S21" s="38">
        <f>IFERROR(__xludf.DUMMYFUNCTION("""COMPUTED_VALUE"""),45674.0)</f>
        <v>45674</v>
      </c>
      <c r="T21" s="35"/>
      <c r="U21" s="35"/>
      <c r="V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IFERROR(__xludf.DUMMYFUNCTION("""COMPUTED_VALUE"""),"マルス")</f>
        <v>マルス</v>
      </c>
      <c r="C22" s="35" t="str">
        <f>IFERROR(__xludf.DUMMYFUNCTION("""COMPUTED_VALUE"""),"マルス")</f>
        <v>マルス</v>
      </c>
      <c r="D22" s="35"/>
      <c r="E22" s="35" t="str">
        <f>IFERROR(__xludf.DUMMYFUNCTION("""COMPUTED_VALUE"""),"ダブルカスク")</f>
        <v>ダブルカスク</v>
      </c>
      <c r="F22" s="35" t="str">
        <f>IFERROR(__xludf.DUMMYFUNCTION("""COMPUTED_VALUE"""),"#T690 #T1597")</f>
        <v>#T690 #T1597</v>
      </c>
      <c r="G22" s="35" t="str">
        <f>IFERROR(__xludf.DUMMYFUNCTION("""COMPUTED_VALUE"""),"マルスモルト ル・パピヨン第19弾 ナミアゲハ")</f>
        <v>マルスモルト ル・パピヨン第19弾 ナミアゲハ</v>
      </c>
      <c r="H22" s="35" t="str">
        <f>IFERROR(__xludf.DUMMYFUNCTION("""COMPUTED_VALUE"""),"ル・パピヨンシリーズ")</f>
        <v>ル・パピヨンシリーズ</v>
      </c>
      <c r="I22" s="35"/>
      <c r="J22" s="35" t="str">
        <f>IFERROR(__xludf.DUMMYFUNCTION("""COMPUTED_VALUE"""),"ポートワイン樽 マルサラワイン樽")</f>
        <v>ポートワイン樽 マルサラワイン樽</v>
      </c>
      <c r="K22" s="35"/>
      <c r="L22" s="35"/>
      <c r="M22" s="35"/>
      <c r="N22" s="36">
        <f>IFERROR(__xludf.DUMMYFUNCTION("""COMPUTED_VALUE"""),0.51)</f>
        <v>0.51</v>
      </c>
      <c r="O22" s="35">
        <f>IFERROR(__xludf.DUMMYFUNCTION("""COMPUTED_VALUE"""),651.0)</f>
        <v>651</v>
      </c>
      <c r="P22" s="37">
        <f>IFERROR(__xludf.DUMMYFUNCTION("""COMPUTED_VALUE"""),2200.0)</f>
        <v>2200</v>
      </c>
      <c r="Q22" s="37">
        <f>IFERROR(__xludf.DUMMYFUNCTION("""COMPUTED_VALUE"""),1200.0)</f>
        <v>1200</v>
      </c>
      <c r="R22" s="37"/>
      <c r="S22" s="38"/>
      <c r="T22" s="35"/>
      <c r="U22" s="35"/>
      <c r="V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IFERROR(__xludf.DUMMYFUNCTION("""COMPUTED_VALUE"""),"マルス")</f>
        <v>マルス</v>
      </c>
      <c r="C23" s="35" t="str">
        <f>IFERROR(__xludf.DUMMYFUNCTION("""COMPUTED_VALUE"""),"マルス")</f>
        <v>マルス</v>
      </c>
      <c r="D23" s="35" t="str">
        <f>IFERROR(__xludf.DUMMYFUNCTION("""COMPUTED_VALUE"""),"駒ヶ岳")</f>
        <v>駒ヶ岳</v>
      </c>
      <c r="E23" s="35" t="str">
        <f>IFERROR(__xludf.DUMMYFUNCTION("""COMPUTED_VALUE"""),"シングルカスク")</f>
        <v>シングルカスク</v>
      </c>
      <c r="F23" s="35" t="str">
        <f>IFERROR(__xludf.DUMMYFUNCTION("""COMPUTED_VALUE"""),"#902")</f>
        <v>#902</v>
      </c>
      <c r="G23" s="35" t="str">
        <f>IFERROR(__xludf.DUMMYFUNCTION("""COMPUTED_VALUE"""),"駒ヶ岳")</f>
        <v>駒ヶ岳</v>
      </c>
      <c r="H23" s="35" t="str">
        <f>IFERROR(__xludf.DUMMYFUNCTION("""COMPUTED_VALUE"""),"for 成城石井")</f>
        <v>for 成城石井</v>
      </c>
      <c r="I23" s="35"/>
      <c r="J23" s="35"/>
      <c r="K23" s="35"/>
      <c r="L23" s="35"/>
      <c r="M23" s="35"/>
      <c r="N23" s="36"/>
      <c r="O23" s="35"/>
      <c r="P23" s="37">
        <f>IFERROR(__xludf.DUMMYFUNCTION("""COMPUTED_VALUE"""),5000.0)</f>
        <v>5000</v>
      </c>
      <c r="Q23" s="37">
        <f>IFERROR(__xludf.DUMMYFUNCTION("""COMPUTED_VALUE"""),2800.0)</f>
        <v>2800</v>
      </c>
      <c r="R23" s="37"/>
      <c r="S23" s="38">
        <f>IFERROR(__xludf.DUMMYFUNCTION("""COMPUTED_VALUE"""),44972.0)</f>
        <v>44972</v>
      </c>
      <c r="T23" s="35"/>
      <c r="U23" s="35"/>
      <c r="V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IFERROR(__xludf.DUMMYFUNCTION("""COMPUTED_VALUE"""),"マルス")</f>
        <v>マルス</v>
      </c>
      <c r="C24" s="35" t="str">
        <f>IFERROR(__xludf.DUMMYFUNCTION("""COMPUTED_VALUE"""),"マルス")</f>
        <v>マルス</v>
      </c>
      <c r="D24" s="35" t="str">
        <f>IFERROR(__xludf.DUMMYFUNCTION("""COMPUTED_VALUE"""),"駒ヶ岳")</f>
        <v>駒ヶ岳</v>
      </c>
      <c r="E24" s="35" t="str">
        <f>IFERROR(__xludf.DUMMYFUNCTION("""COMPUTED_VALUE"""),"シングルカスク")</f>
        <v>シングルカスク</v>
      </c>
      <c r="F24" s="35" t="str">
        <f>IFERROR(__xludf.DUMMYFUNCTION("""COMPUTED_VALUE"""),"#1436")</f>
        <v>#1436</v>
      </c>
      <c r="G24" s="35" t="str">
        <f>IFERROR(__xludf.DUMMYFUNCTION("""COMPUTED_VALUE"""),"駒ヶ岳 2012")</f>
        <v>駒ヶ岳 2012</v>
      </c>
      <c r="H24" s="35" t="str">
        <f>IFERROR(__xludf.DUMMYFUNCTION("""COMPUTED_VALUE"""),"for 三越伊勢丹")</f>
        <v>for 三越伊勢丹</v>
      </c>
      <c r="I24" s="35"/>
      <c r="J24" s="35"/>
      <c r="K24" s="35"/>
      <c r="L24" s="35"/>
      <c r="M24" s="35"/>
      <c r="N24" s="36"/>
      <c r="O24" s="35"/>
      <c r="P24" s="37">
        <f>IFERROR(__xludf.DUMMYFUNCTION("""COMPUTED_VALUE"""),3000.0)</f>
        <v>3000</v>
      </c>
      <c r="Q24" s="37">
        <f>IFERROR(__xludf.DUMMYFUNCTION("""COMPUTED_VALUE"""),1600.0)</f>
        <v>1600</v>
      </c>
      <c r="R24" s="37"/>
      <c r="S24" s="38"/>
      <c r="T24" s="35"/>
      <c r="U24" s="35"/>
      <c r="V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IFERROR(__xludf.DUMMYFUNCTION("""COMPUTED_VALUE"""),"マルス")</f>
        <v>マルス</v>
      </c>
      <c r="C25" s="35" t="str">
        <f>IFERROR(__xludf.DUMMYFUNCTION("""COMPUTED_VALUE"""),"マルス")</f>
        <v>マルス</v>
      </c>
      <c r="D25" s="35" t="str">
        <f>IFERROR(__xludf.DUMMYFUNCTION("""COMPUTED_VALUE"""),"駒ヶ岳")</f>
        <v>駒ヶ岳</v>
      </c>
      <c r="E25" s="35" t="str">
        <f>IFERROR(__xludf.DUMMYFUNCTION("""COMPUTED_VALUE"""),"シングルカスク")</f>
        <v>シングルカスク</v>
      </c>
      <c r="F25" s="35" t="str">
        <f>IFERROR(__xludf.DUMMYFUNCTION("""COMPUTED_VALUE"""),"#1493")</f>
        <v>#1493</v>
      </c>
      <c r="G25" s="35" t="str">
        <f>IFERROR(__xludf.DUMMYFUNCTION("""COMPUTED_VALUE"""),"駒ヶ岳 6年")</f>
        <v>駒ヶ岳 6年</v>
      </c>
      <c r="H25" s="35"/>
      <c r="I25" s="35"/>
      <c r="J25" s="35"/>
      <c r="K25" s="35"/>
      <c r="L25" s="35"/>
      <c r="M25" s="35"/>
      <c r="N25" s="36"/>
      <c r="O25" s="35"/>
      <c r="P25" s="37">
        <f>IFERROR(__xludf.DUMMYFUNCTION("""COMPUTED_VALUE"""),3500.0)</f>
        <v>3500</v>
      </c>
      <c r="Q25" s="37">
        <f>IFERROR(__xludf.DUMMYFUNCTION("""COMPUTED_VALUE"""),1900.0)</f>
        <v>1900</v>
      </c>
      <c r="R25" s="37"/>
      <c r="S25" s="38">
        <f>IFERROR(__xludf.DUMMYFUNCTION("""COMPUTED_VALUE"""),45203.0)</f>
        <v>45203</v>
      </c>
      <c r="T25" s="35"/>
      <c r="U25" s="35"/>
      <c r="V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IFERROR(__xludf.DUMMYFUNCTION("""COMPUTED_VALUE"""),"マルス")</f>
        <v>マルス</v>
      </c>
      <c r="C26" s="35" t="str">
        <f>IFERROR(__xludf.DUMMYFUNCTION("""COMPUTED_VALUE"""),"マルス")</f>
        <v>マルス</v>
      </c>
      <c r="D26" s="35" t="str">
        <f>IFERROR(__xludf.DUMMYFUNCTION("""COMPUTED_VALUE"""),"駒ヶ岳")</f>
        <v>駒ヶ岳</v>
      </c>
      <c r="E26" s="35" t="str">
        <f>IFERROR(__xludf.DUMMYFUNCTION("""COMPUTED_VALUE"""),"シングルカスク")</f>
        <v>シングルカスク</v>
      </c>
      <c r="F26" s="35" t="str">
        <f>IFERROR(__xludf.DUMMYFUNCTION("""COMPUTED_VALUE"""),"#1663")</f>
        <v>#1663</v>
      </c>
      <c r="G26" s="35" t="str">
        <f>IFERROR(__xludf.DUMMYFUNCTION("""COMPUTED_VALUE"""),"駒ヶ岳 7年")</f>
        <v>駒ヶ岳 7年</v>
      </c>
      <c r="H26" s="35"/>
      <c r="I26" s="35"/>
      <c r="J26" s="35"/>
      <c r="K26" s="35"/>
      <c r="L26" s="35"/>
      <c r="M26" s="35"/>
      <c r="N26" s="36"/>
      <c r="O26" s="35"/>
      <c r="P26" s="37">
        <f>IFERROR(__xludf.DUMMYFUNCTION("""COMPUTED_VALUE"""),3500.0)</f>
        <v>3500</v>
      </c>
      <c r="Q26" s="37">
        <f>IFERROR(__xludf.DUMMYFUNCTION("""COMPUTED_VALUE"""),1900.0)</f>
        <v>1900</v>
      </c>
      <c r="R26" s="37"/>
      <c r="S26" s="38">
        <f>IFERROR(__xludf.DUMMYFUNCTION("""COMPUTED_VALUE"""),45197.0)</f>
        <v>45197</v>
      </c>
      <c r="T26" s="35"/>
      <c r="U26" s="35"/>
      <c r="V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IFERROR(__xludf.DUMMYFUNCTION("""COMPUTED_VALUE"""),"マルス")</f>
        <v>マルス</v>
      </c>
      <c r="C27" s="35" t="str">
        <f>IFERROR(__xludf.DUMMYFUNCTION("""COMPUTED_VALUE"""),"マルス")</f>
        <v>マルス</v>
      </c>
      <c r="D27" s="35" t="str">
        <f>IFERROR(__xludf.DUMMYFUNCTION("""COMPUTED_VALUE"""),"駒ヶ岳")</f>
        <v>駒ヶ岳</v>
      </c>
      <c r="E27" s="35" t="str">
        <f>IFERROR(__xludf.DUMMYFUNCTION("""COMPUTED_VALUE"""),"シングルカスク")</f>
        <v>シングルカスク</v>
      </c>
      <c r="F27" s="35" t="str">
        <f>IFERROR(__xludf.DUMMYFUNCTION("""COMPUTED_VALUE"""),"#1704")</f>
        <v>#1704</v>
      </c>
      <c r="G27" s="35" t="str">
        <f>IFERROR(__xludf.DUMMYFUNCTION("""COMPUTED_VALUE"""),"駒ヶ岳 2013")</f>
        <v>駒ヶ岳 2013</v>
      </c>
      <c r="H27" s="35" t="str">
        <f>IFERROR(__xludf.DUMMYFUNCTION("""COMPUTED_VALUE"""),"for ePower")</f>
        <v>for ePower</v>
      </c>
      <c r="I27" s="35"/>
      <c r="J27" s="35"/>
      <c r="K27" s="35"/>
      <c r="L27" s="35"/>
      <c r="M27" s="35"/>
      <c r="N27" s="36"/>
      <c r="O27" s="35"/>
      <c r="P27" s="37">
        <f>IFERROR(__xludf.DUMMYFUNCTION("""COMPUTED_VALUE"""),3000.0)</f>
        <v>3000</v>
      </c>
      <c r="Q27" s="37">
        <f>IFERROR(__xludf.DUMMYFUNCTION("""COMPUTED_VALUE"""),1600.0)</f>
        <v>1600</v>
      </c>
      <c r="R27" s="37"/>
      <c r="S27" s="38"/>
      <c r="T27" s="35"/>
      <c r="U27" s="35"/>
      <c r="V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IFERROR(__xludf.DUMMYFUNCTION("""COMPUTED_VALUE"""),"マルス")</f>
        <v>マルス</v>
      </c>
      <c r="C28" s="35" t="str">
        <f>IFERROR(__xludf.DUMMYFUNCTION("""COMPUTED_VALUE"""),"マルス")</f>
        <v>マルス</v>
      </c>
      <c r="D28" s="35" t="str">
        <f>IFERROR(__xludf.DUMMYFUNCTION("""COMPUTED_VALUE"""),"駒ヶ岳")</f>
        <v>駒ヶ岳</v>
      </c>
      <c r="E28" s="35" t="str">
        <f>IFERROR(__xludf.DUMMYFUNCTION("""COMPUTED_VALUE"""),"シングルカスク")</f>
        <v>シングルカスク</v>
      </c>
      <c r="F28" s="35" t="str">
        <f>IFERROR(__xludf.DUMMYFUNCTION("""COMPUTED_VALUE"""),"#1706")</f>
        <v>#1706</v>
      </c>
      <c r="G28" s="35" t="str">
        <f>IFERROR(__xludf.DUMMYFUNCTION("""COMPUTED_VALUE"""),"駒ヶ岳")</f>
        <v>駒ヶ岳</v>
      </c>
      <c r="H28" s="35" t="str">
        <f>IFERROR(__xludf.DUMMYFUNCTION("""COMPUTED_VALUE"""),"for ウイスキートーク福岡2016")</f>
        <v>for ウイスキートーク福岡2016</v>
      </c>
      <c r="I28" s="35"/>
      <c r="J28" s="35"/>
      <c r="K28" s="35"/>
      <c r="L28" s="35"/>
      <c r="M28" s="35"/>
      <c r="N28" s="36"/>
      <c r="O28" s="35"/>
      <c r="P28" s="37">
        <f>IFERROR(__xludf.DUMMYFUNCTION("""COMPUTED_VALUE"""),3000.0)</f>
        <v>3000</v>
      </c>
      <c r="Q28" s="37">
        <f>IFERROR(__xludf.DUMMYFUNCTION("""COMPUTED_VALUE"""),1600.0)</f>
        <v>1600</v>
      </c>
      <c r="R28" s="37"/>
      <c r="S28" s="38">
        <f>IFERROR(__xludf.DUMMYFUNCTION("""COMPUTED_VALUE"""),44907.0)</f>
        <v>44907</v>
      </c>
      <c r="T28" s="35"/>
      <c r="U28" s="35"/>
      <c r="V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IFERROR(__xludf.DUMMYFUNCTION("""COMPUTED_VALUE"""),"マルス")</f>
        <v>マルス</v>
      </c>
      <c r="C29" s="35" t="str">
        <f>IFERROR(__xludf.DUMMYFUNCTION("""COMPUTED_VALUE"""),"マルス")</f>
        <v>マルス</v>
      </c>
      <c r="D29" s="35" t="str">
        <f>IFERROR(__xludf.DUMMYFUNCTION("""COMPUTED_VALUE"""),"駒ヶ岳")</f>
        <v>駒ヶ岳</v>
      </c>
      <c r="E29" s="35" t="str">
        <f>IFERROR(__xludf.DUMMYFUNCTION("""COMPUTED_VALUE"""),"シングルカスク")</f>
        <v>シングルカスク</v>
      </c>
      <c r="F29" s="35" t="str">
        <f>IFERROR(__xludf.DUMMYFUNCTION("""COMPUTED_VALUE"""),"#1753")</f>
        <v>#1753</v>
      </c>
      <c r="G29" s="35" t="str">
        <f>IFERROR(__xludf.DUMMYFUNCTION("""COMPUTED_VALUE"""),"駒ヶ岳 2014 信州バーテンダーズチョイス 鮮緑")</f>
        <v>駒ヶ岳 2014 信州バーテンダーズチョイス 鮮緑</v>
      </c>
      <c r="H29" s="35" t="str">
        <f>IFERROR(__xludf.DUMMYFUNCTION("""COMPUTED_VALUE"""),"for NBA長野支部")</f>
        <v>for NBA長野支部</v>
      </c>
      <c r="I29" s="35"/>
      <c r="J29" s="35"/>
      <c r="K29" s="35"/>
      <c r="L29" s="35"/>
      <c r="M29" s="35"/>
      <c r="N29" s="36"/>
      <c r="O29" s="35"/>
      <c r="P29" s="37">
        <f>IFERROR(__xludf.DUMMYFUNCTION("""COMPUTED_VALUE"""),3000.0)</f>
        <v>3000</v>
      </c>
      <c r="Q29" s="37">
        <f>IFERROR(__xludf.DUMMYFUNCTION("""COMPUTED_VALUE"""),1600.0)</f>
        <v>1600</v>
      </c>
      <c r="R29" s="37"/>
      <c r="S29" s="38">
        <f>IFERROR(__xludf.DUMMYFUNCTION("""COMPUTED_VALUE"""),45595.0)</f>
        <v>45595</v>
      </c>
      <c r="T29" s="35"/>
      <c r="U29" s="35"/>
      <c r="V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IFERROR(__xludf.DUMMYFUNCTION("""COMPUTED_VALUE"""),"マルス")</f>
        <v>マルス</v>
      </c>
      <c r="C30" s="35" t="str">
        <f>IFERROR(__xludf.DUMMYFUNCTION("""COMPUTED_VALUE"""),"マルス")</f>
        <v>マルス</v>
      </c>
      <c r="D30" s="35" t="str">
        <f>IFERROR(__xludf.DUMMYFUNCTION("""COMPUTED_VALUE"""),"駒ヶ岳")</f>
        <v>駒ヶ岳</v>
      </c>
      <c r="E30" s="35" t="str">
        <f>IFERROR(__xludf.DUMMYFUNCTION("""COMPUTED_VALUE"""),"シングルカスク")</f>
        <v>シングルカスク</v>
      </c>
      <c r="F30" s="35" t="str">
        <f>IFERROR(__xludf.DUMMYFUNCTION("""COMPUTED_VALUE"""),"#1834")</f>
        <v>#1834</v>
      </c>
      <c r="G30" s="35" t="str">
        <f>IFERROR(__xludf.DUMMYFUNCTION("""COMPUTED_VALUE"""),"駒ヶ岳 6年")</f>
        <v>駒ヶ岳 6年</v>
      </c>
      <c r="H30" s="35"/>
      <c r="I30" s="35"/>
      <c r="J30" s="35"/>
      <c r="K30" s="35"/>
      <c r="L30" s="35"/>
      <c r="M30" s="35"/>
      <c r="N30" s="36"/>
      <c r="O30" s="35"/>
      <c r="P30" s="37">
        <f>IFERROR(__xludf.DUMMYFUNCTION("""COMPUTED_VALUE"""),3500.0)</f>
        <v>3500</v>
      </c>
      <c r="Q30" s="37">
        <f>IFERROR(__xludf.DUMMYFUNCTION("""COMPUTED_VALUE"""),1900.0)</f>
        <v>1900</v>
      </c>
      <c r="R30" s="37"/>
      <c r="S30" s="38">
        <f>IFERROR(__xludf.DUMMYFUNCTION("""COMPUTED_VALUE"""),45202.0)</f>
        <v>45202</v>
      </c>
      <c r="T30" s="35"/>
      <c r="U30" s="35"/>
      <c r="V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IFERROR(__xludf.DUMMYFUNCTION("""COMPUTED_VALUE"""),"マルス")</f>
        <v>マルス</v>
      </c>
      <c r="C31" s="35" t="str">
        <f>IFERROR(__xludf.DUMMYFUNCTION("""COMPUTED_VALUE"""),"マルス")</f>
        <v>マルス</v>
      </c>
      <c r="D31" s="35" t="str">
        <f>IFERROR(__xludf.DUMMYFUNCTION("""COMPUTED_VALUE"""),"駒ヶ岳")</f>
        <v>駒ヶ岳</v>
      </c>
      <c r="E31" s="35" t="str">
        <f>IFERROR(__xludf.DUMMYFUNCTION("""COMPUTED_VALUE"""),"シングルカスク")</f>
        <v>シングルカスク</v>
      </c>
      <c r="F31" s="35" t="str">
        <f>IFERROR(__xludf.DUMMYFUNCTION("""COMPUTED_VALUE"""),"#1941")</f>
        <v>#1941</v>
      </c>
      <c r="G31" s="35" t="str">
        <f>IFERROR(__xludf.DUMMYFUNCTION("""COMPUTED_VALUE"""),"駒ヶ岳 2015")</f>
        <v>駒ヶ岳 2015</v>
      </c>
      <c r="H31" s="35" t="str">
        <f>IFERROR(__xludf.DUMMYFUNCTION("""COMPUTED_VALUE"""),"for WLN2019")</f>
        <v>for WLN2019</v>
      </c>
      <c r="I31" s="35"/>
      <c r="J31" s="35"/>
      <c r="K31" s="35"/>
      <c r="L31" s="35"/>
      <c r="M31" s="35"/>
      <c r="N31" s="36"/>
      <c r="O31" s="35"/>
      <c r="P31" s="37">
        <f>IFERROR(__xludf.DUMMYFUNCTION("""COMPUTED_VALUE"""),3000.0)</f>
        <v>3000</v>
      </c>
      <c r="Q31" s="37">
        <f>IFERROR(__xludf.DUMMYFUNCTION("""COMPUTED_VALUE"""),1600.0)</f>
        <v>1600</v>
      </c>
      <c r="R31" s="37"/>
      <c r="S31" s="38"/>
      <c r="T31" s="35"/>
      <c r="U31" s="35"/>
      <c r="V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IFERROR(__xludf.DUMMYFUNCTION("""COMPUTED_VALUE"""),"マルス")</f>
        <v>マルス</v>
      </c>
      <c r="C32" s="35" t="str">
        <f>IFERROR(__xludf.DUMMYFUNCTION("""COMPUTED_VALUE"""),"マルス")</f>
        <v>マルス</v>
      </c>
      <c r="D32" s="35" t="str">
        <f>IFERROR(__xludf.DUMMYFUNCTION("""COMPUTED_VALUE"""),"駒ヶ岳")</f>
        <v>駒ヶ岳</v>
      </c>
      <c r="E32" s="35" t="str">
        <f>IFERROR(__xludf.DUMMYFUNCTION("""COMPUTED_VALUE"""),"シングルカスク")</f>
        <v>シングルカスク</v>
      </c>
      <c r="F32" s="35" t="str">
        <f>IFERROR(__xludf.DUMMYFUNCTION("""COMPUTED_VALUE"""),"#3319")</f>
        <v>#3319</v>
      </c>
      <c r="G32" s="35" t="str">
        <f>IFERROR(__xludf.DUMMYFUNCTION("""COMPUTED_VALUE"""),"駒ヶ岳")</f>
        <v>駒ヶ岳</v>
      </c>
      <c r="H32" s="35" t="str">
        <f>IFERROR(__xludf.DUMMYFUNCTION("""COMPUTED_VALUE"""),"for BAR fishborn10周年記念")</f>
        <v>for BAR fishborn10周年記念</v>
      </c>
      <c r="I32" s="35"/>
      <c r="J32" s="35"/>
      <c r="K32" s="35"/>
      <c r="L32" s="35"/>
      <c r="M32" s="35"/>
      <c r="N32" s="36"/>
      <c r="O32" s="35"/>
      <c r="P32" s="37">
        <f>IFERROR(__xludf.DUMMYFUNCTION("""COMPUTED_VALUE"""),3000.0)</f>
        <v>3000</v>
      </c>
      <c r="Q32" s="37">
        <f>IFERROR(__xludf.DUMMYFUNCTION("""COMPUTED_VALUE"""),1600.0)</f>
        <v>1600</v>
      </c>
      <c r="R32" s="37"/>
      <c r="S32" s="38">
        <f>IFERROR(__xludf.DUMMYFUNCTION("""COMPUTED_VALUE"""),44979.0)</f>
        <v>44979</v>
      </c>
      <c r="T32" s="35"/>
      <c r="U32" s="35"/>
      <c r="V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IFERROR(__xludf.DUMMYFUNCTION("""COMPUTED_VALUE"""),"マルス")</f>
        <v>マルス</v>
      </c>
      <c r="C33" s="35" t="str">
        <f>IFERROR(__xludf.DUMMYFUNCTION("""COMPUTED_VALUE"""),"マルス")</f>
        <v>マルス</v>
      </c>
      <c r="D33" s="35" t="str">
        <f>IFERROR(__xludf.DUMMYFUNCTION("""COMPUTED_VALUE"""),"駒ヶ岳")</f>
        <v>駒ヶ岳</v>
      </c>
      <c r="E33" s="35" t="str">
        <f>IFERROR(__xludf.DUMMYFUNCTION("""COMPUTED_VALUE"""),"シングルカスク")</f>
        <v>シングルカスク</v>
      </c>
      <c r="F33" s="35"/>
      <c r="G33" s="35" t="str">
        <f>IFERROR(__xludf.DUMMYFUNCTION("""COMPUTED_VALUE"""),"駒ヶ岳 2016 南信州ビールIPAカスクフィニッシュ")</f>
        <v>駒ヶ岳 2016 南信州ビールIPAカスクフィニッシュ</v>
      </c>
      <c r="H33" s="35" t="str">
        <f>IFERROR(__xludf.DUMMYFUNCTION("""COMPUTED_VALUE"""),"蒸溜所限定")</f>
        <v>蒸溜所限定</v>
      </c>
      <c r="I33" s="35"/>
      <c r="J33" s="35"/>
      <c r="K33" s="35"/>
      <c r="L33" s="35"/>
      <c r="M33" s="35"/>
      <c r="N33" s="36"/>
      <c r="O33" s="35"/>
      <c r="P33" s="37">
        <f>IFERROR(__xludf.DUMMYFUNCTION("""COMPUTED_VALUE"""),2400.0)</f>
        <v>2400</v>
      </c>
      <c r="Q33" s="37">
        <f>IFERROR(__xludf.DUMMYFUNCTION("""COMPUTED_VALUE"""),1300.0)</f>
        <v>1300</v>
      </c>
      <c r="R33" s="37"/>
      <c r="S33" s="38">
        <f>IFERROR(__xludf.DUMMYFUNCTION("""COMPUTED_VALUE"""),45811.0)</f>
        <v>45811</v>
      </c>
      <c r="T33" s="35"/>
      <c r="U33" s="35"/>
      <c r="V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IFERROR(__xludf.DUMMYFUNCTION("""COMPUTED_VALUE"""),"マルス")</f>
        <v>マルス</v>
      </c>
      <c r="C34" s="35" t="str">
        <f>IFERROR(__xludf.DUMMYFUNCTION("""COMPUTED_VALUE"""),"マルス")</f>
        <v>マルス</v>
      </c>
      <c r="D34" s="35" t="str">
        <f>IFERROR(__xludf.DUMMYFUNCTION("""COMPUTED_VALUE"""),"津貫")</f>
        <v>津貫</v>
      </c>
      <c r="E34" s="35" t="str">
        <f>IFERROR(__xludf.DUMMYFUNCTION("""COMPUTED_VALUE"""),"シングルカスク")</f>
        <v>シングルカスク</v>
      </c>
      <c r="F34" s="35" t="str">
        <f>IFERROR(__xludf.DUMMYFUNCTION("""COMPUTED_VALUE"""),"#T128")</f>
        <v>#T128</v>
      </c>
      <c r="G34" s="35" t="str">
        <f>IFERROR(__xludf.DUMMYFUNCTION("""COMPUTED_VALUE"""),"津貫")</f>
        <v>津貫</v>
      </c>
      <c r="H34" s="35" t="str">
        <f>IFERROR(__xludf.DUMMYFUNCTION("""COMPUTED_VALUE"""),"for ウイスキートーク福岡2022")</f>
        <v>for ウイスキートーク福岡2022</v>
      </c>
      <c r="I34" s="35"/>
      <c r="J34" s="35"/>
      <c r="K34" s="35"/>
      <c r="L34" s="35"/>
      <c r="M34" s="35"/>
      <c r="N34" s="36"/>
      <c r="O34" s="35"/>
      <c r="P34" s="37">
        <f>IFERROR(__xludf.DUMMYFUNCTION("""COMPUTED_VALUE"""),3000.0)</f>
        <v>3000</v>
      </c>
      <c r="Q34" s="37">
        <f>IFERROR(__xludf.DUMMYFUNCTION("""COMPUTED_VALUE"""),1600.0)</f>
        <v>1600</v>
      </c>
      <c r="R34" s="37"/>
      <c r="S34" s="38">
        <f>IFERROR(__xludf.DUMMYFUNCTION("""COMPUTED_VALUE"""),44908.0)</f>
        <v>44908</v>
      </c>
      <c r="T34" s="35"/>
      <c r="U34" s="35"/>
      <c r="V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IFERROR(__xludf.DUMMYFUNCTION("""COMPUTED_VALUE"""),"マルス")</f>
        <v>マルス</v>
      </c>
      <c r="C35" s="35" t="str">
        <f>IFERROR(__xludf.DUMMYFUNCTION("""COMPUTED_VALUE"""),"マルス")</f>
        <v>マルス</v>
      </c>
      <c r="D35" s="35" t="str">
        <f>IFERROR(__xludf.DUMMYFUNCTION("""COMPUTED_VALUE"""),"津貫")</f>
        <v>津貫</v>
      </c>
      <c r="E35" s="35" t="str">
        <f>IFERROR(__xludf.DUMMYFUNCTION("""COMPUTED_VALUE"""),"シングルカスク")</f>
        <v>シングルカスク</v>
      </c>
      <c r="F35" s="35" t="str">
        <f>IFERROR(__xludf.DUMMYFUNCTION("""COMPUTED_VALUE"""),"#T312")</f>
        <v>#T312</v>
      </c>
      <c r="G35" s="35" t="str">
        <f>IFERROR(__xludf.DUMMYFUNCTION("""COMPUTED_VALUE"""),"津貫")</f>
        <v>津貫</v>
      </c>
      <c r="H35" s="35" t="str">
        <f>IFERROR(__xludf.DUMMYFUNCTION("""COMPUTED_VALUE"""),"for ePower15周年記念")</f>
        <v>for ePower15周年記念</v>
      </c>
      <c r="I35" s="35"/>
      <c r="J35" s="35"/>
      <c r="K35" s="35"/>
      <c r="L35" s="35"/>
      <c r="M35" s="35"/>
      <c r="N35" s="36"/>
      <c r="O35" s="35"/>
      <c r="P35" s="37">
        <f>IFERROR(__xludf.DUMMYFUNCTION("""COMPUTED_VALUE"""),3000.0)</f>
        <v>3000</v>
      </c>
      <c r="Q35" s="37">
        <f>IFERROR(__xludf.DUMMYFUNCTION("""COMPUTED_VALUE"""),1600.0)</f>
        <v>1600</v>
      </c>
      <c r="R35" s="37"/>
      <c r="S35" s="38">
        <f>IFERROR(__xludf.DUMMYFUNCTION("""COMPUTED_VALUE"""),44860.0)</f>
        <v>44860</v>
      </c>
      <c r="T35" s="35"/>
      <c r="U35" s="35"/>
      <c r="V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IFERROR(__xludf.DUMMYFUNCTION("""COMPUTED_VALUE"""),"マルス")</f>
        <v>マルス</v>
      </c>
      <c r="C36" s="35" t="str">
        <f>IFERROR(__xludf.DUMMYFUNCTION("""COMPUTED_VALUE"""),"マルス")</f>
        <v>マルス</v>
      </c>
      <c r="D36" s="35" t="str">
        <f>IFERROR(__xludf.DUMMYFUNCTION("""COMPUTED_VALUE"""),"駒ヶ岳")</f>
        <v>駒ヶ岳</v>
      </c>
      <c r="E36" s="35" t="str">
        <f>IFERROR(__xludf.DUMMYFUNCTION("""COMPUTED_VALUE"""),"シングルモルト")</f>
        <v>シングルモルト</v>
      </c>
      <c r="F36" s="35"/>
      <c r="G36" s="35" t="str">
        <f>IFERROR(__xludf.DUMMYFUNCTION("""COMPUTED_VALUE"""),"駒ヶ岳")</f>
        <v>駒ヶ岳</v>
      </c>
      <c r="H36" s="35"/>
      <c r="I36" s="35"/>
      <c r="J36" s="35"/>
      <c r="K36" s="35"/>
      <c r="L36" s="35" t="str">
        <f>IFERROR(__xludf.DUMMYFUNCTION("""COMPUTED_VALUE"""),"✓")</f>
        <v>✓</v>
      </c>
      <c r="M36" s="35"/>
      <c r="N36" s="36">
        <f>IFERROR(__xludf.DUMMYFUNCTION("""COMPUTED_VALUE"""),0.45)</f>
        <v>0.45</v>
      </c>
      <c r="O36" s="35"/>
      <c r="P36" s="37">
        <f>IFERROR(__xludf.DUMMYFUNCTION("""COMPUTED_VALUE"""),1400.0)</f>
        <v>1400</v>
      </c>
      <c r="Q36" s="37">
        <f>IFERROR(__xludf.DUMMYFUNCTION("""COMPUTED_VALUE"""),800.0)</f>
        <v>800</v>
      </c>
      <c r="R36" s="37"/>
      <c r="S36" s="38"/>
      <c r="T36" s="35"/>
      <c r="U36" s="35"/>
      <c r="V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IFERROR(__xludf.DUMMYFUNCTION("""COMPUTED_VALUE"""),"マルス")</f>
        <v>マルス</v>
      </c>
      <c r="C37" s="35" t="str">
        <f>IFERROR(__xludf.DUMMYFUNCTION("""COMPUTED_VALUE"""),"マルス")</f>
        <v>マルス</v>
      </c>
      <c r="D37" s="35" t="str">
        <f>IFERROR(__xludf.DUMMYFUNCTION("""COMPUTED_VALUE"""),"駒ヶ岳")</f>
        <v>駒ヶ岳</v>
      </c>
      <c r="E37" s="35" t="str">
        <f>IFERROR(__xludf.DUMMYFUNCTION("""COMPUTED_VALUE"""),"シングルモルト")</f>
        <v>シングルモルト</v>
      </c>
      <c r="F37" s="35"/>
      <c r="G37" s="35" t="str">
        <f>IFERROR(__xludf.DUMMYFUNCTION("""COMPUTED_VALUE"""),"駒ヶ岳 リミテッドエディション 2018")</f>
        <v>駒ヶ岳 リミテッドエディション 2018</v>
      </c>
      <c r="H37" s="35"/>
      <c r="I37" s="35"/>
      <c r="J37" s="35"/>
      <c r="K37" s="35"/>
      <c r="L37" s="35"/>
      <c r="M37" s="35"/>
      <c r="N37" s="36"/>
      <c r="O37" s="35"/>
      <c r="P37" s="37">
        <f>IFERROR(__xludf.DUMMYFUNCTION("""COMPUTED_VALUE"""),1600.0)</f>
        <v>1600</v>
      </c>
      <c r="Q37" s="37">
        <f>IFERROR(__xludf.DUMMYFUNCTION("""COMPUTED_VALUE"""),900.0)</f>
        <v>900</v>
      </c>
      <c r="R37" s="37"/>
      <c r="S37" s="38"/>
      <c r="T37" s="35"/>
      <c r="U37" s="35"/>
      <c r="V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IFERROR(__xludf.DUMMYFUNCTION("""COMPUTED_VALUE"""),"マルス")</f>
        <v>マルス</v>
      </c>
      <c r="C38" s="35" t="str">
        <f>IFERROR(__xludf.DUMMYFUNCTION("""COMPUTED_VALUE"""),"マルス")</f>
        <v>マルス</v>
      </c>
      <c r="D38" s="35" t="str">
        <f>IFERROR(__xludf.DUMMYFUNCTION("""COMPUTED_VALUE"""),"駒ヶ岳")</f>
        <v>駒ヶ岳</v>
      </c>
      <c r="E38" s="35" t="str">
        <f>IFERROR(__xludf.DUMMYFUNCTION("""COMPUTED_VALUE"""),"シングルモルト")</f>
        <v>シングルモルト</v>
      </c>
      <c r="F38" s="35"/>
      <c r="G38" s="35" t="str">
        <f>IFERROR(__xludf.DUMMYFUNCTION("""COMPUTED_VALUE"""),"駒ヶ岳 リミテッドエディション 2019")</f>
        <v>駒ヶ岳 リミテッドエディション 2019</v>
      </c>
      <c r="H38" s="35"/>
      <c r="I38" s="35"/>
      <c r="J38" s="35"/>
      <c r="K38" s="35"/>
      <c r="L38" s="35"/>
      <c r="M38" s="35"/>
      <c r="N38" s="36"/>
      <c r="O38" s="35"/>
      <c r="P38" s="37">
        <f>IFERROR(__xludf.DUMMYFUNCTION("""COMPUTED_VALUE"""),1600.0)</f>
        <v>1600</v>
      </c>
      <c r="Q38" s="37">
        <f>IFERROR(__xludf.DUMMYFUNCTION("""COMPUTED_VALUE"""),900.0)</f>
        <v>900</v>
      </c>
      <c r="R38" s="37"/>
      <c r="S38" s="38"/>
      <c r="T38" s="35"/>
      <c r="U38" s="35"/>
      <c r="V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IFERROR(__xludf.DUMMYFUNCTION("""COMPUTED_VALUE"""),"マルス")</f>
        <v>マルス</v>
      </c>
      <c r="C39" s="35" t="str">
        <f>IFERROR(__xludf.DUMMYFUNCTION("""COMPUTED_VALUE"""),"マルス")</f>
        <v>マルス</v>
      </c>
      <c r="D39" s="35" t="str">
        <f>IFERROR(__xludf.DUMMYFUNCTION("""COMPUTED_VALUE"""),"駒ヶ岳")</f>
        <v>駒ヶ岳</v>
      </c>
      <c r="E39" s="35" t="str">
        <f>IFERROR(__xludf.DUMMYFUNCTION("""COMPUTED_VALUE"""),"シングルモルト")</f>
        <v>シングルモルト</v>
      </c>
      <c r="F39" s="35"/>
      <c r="G39" s="35" t="str">
        <f>IFERROR(__xludf.DUMMYFUNCTION("""COMPUTED_VALUE"""),"駒ヶ岳 リミテッドエディション 2020")</f>
        <v>駒ヶ岳 リミテッドエディション 2020</v>
      </c>
      <c r="H39" s="35"/>
      <c r="I39" s="35"/>
      <c r="J39" s="35"/>
      <c r="K39" s="35"/>
      <c r="L39" s="35"/>
      <c r="M39" s="35"/>
      <c r="N39" s="36"/>
      <c r="O39" s="35"/>
      <c r="P39" s="37">
        <f>IFERROR(__xludf.DUMMYFUNCTION("""COMPUTED_VALUE"""),1600.0)</f>
        <v>1600</v>
      </c>
      <c r="Q39" s="37">
        <f>IFERROR(__xludf.DUMMYFUNCTION("""COMPUTED_VALUE"""),900.0)</f>
        <v>900</v>
      </c>
      <c r="R39" s="37"/>
      <c r="S39" s="38"/>
      <c r="T39" s="35"/>
      <c r="U39" s="35"/>
      <c r="V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IFERROR(__xludf.DUMMYFUNCTION("""COMPUTED_VALUE"""),"マルス")</f>
        <v>マルス</v>
      </c>
      <c r="C40" s="35" t="str">
        <f>IFERROR(__xludf.DUMMYFUNCTION("""COMPUTED_VALUE"""),"マルス")</f>
        <v>マルス</v>
      </c>
      <c r="D40" s="35" t="str">
        <f>IFERROR(__xludf.DUMMYFUNCTION("""COMPUTED_VALUE"""),"駒ヶ岳")</f>
        <v>駒ヶ岳</v>
      </c>
      <c r="E40" s="35" t="str">
        <f>IFERROR(__xludf.DUMMYFUNCTION("""COMPUTED_VALUE"""),"シングルモルト")</f>
        <v>シングルモルト</v>
      </c>
      <c r="F40" s="35"/>
      <c r="G40" s="35" t="str">
        <f>IFERROR(__xludf.DUMMYFUNCTION("""COMPUTED_VALUE"""),"駒ヶ岳 2021エディション")</f>
        <v>駒ヶ岳 2021エディション</v>
      </c>
      <c r="H40" s="35"/>
      <c r="I40" s="35"/>
      <c r="J40" s="35"/>
      <c r="K40" s="35"/>
      <c r="L40" s="35"/>
      <c r="M40" s="35"/>
      <c r="N40" s="36"/>
      <c r="O40" s="35"/>
      <c r="P40" s="37">
        <f>IFERROR(__xludf.DUMMYFUNCTION("""COMPUTED_VALUE"""),1600.0)</f>
        <v>1600</v>
      </c>
      <c r="Q40" s="37">
        <f>IFERROR(__xludf.DUMMYFUNCTION("""COMPUTED_VALUE"""),900.0)</f>
        <v>900</v>
      </c>
      <c r="R40" s="37"/>
      <c r="S40" s="38"/>
      <c r="T40" s="35"/>
      <c r="U40" s="35"/>
      <c r="V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IFERROR(__xludf.DUMMYFUNCTION("""COMPUTED_VALUE"""),"マルス")</f>
        <v>マルス</v>
      </c>
      <c r="C41" s="35" t="str">
        <f>IFERROR(__xludf.DUMMYFUNCTION("""COMPUTED_VALUE"""),"マルス")</f>
        <v>マルス</v>
      </c>
      <c r="D41" s="35" t="str">
        <f>IFERROR(__xludf.DUMMYFUNCTION("""COMPUTED_VALUE"""),"駒ヶ岳")</f>
        <v>駒ヶ岳</v>
      </c>
      <c r="E41" s="35" t="str">
        <f>IFERROR(__xludf.DUMMYFUNCTION("""COMPUTED_VALUE"""),"シングルモルト")</f>
        <v>シングルモルト</v>
      </c>
      <c r="F41" s="35"/>
      <c r="G41" s="35" t="str">
        <f>IFERROR(__xludf.DUMMYFUNCTION("""COMPUTED_VALUE"""),"駒ヶ岳 2022エディション")</f>
        <v>駒ヶ岳 2022エディション</v>
      </c>
      <c r="H41" s="35"/>
      <c r="I41" s="35"/>
      <c r="J41" s="35"/>
      <c r="K41" s="35"/>
      <c r="L41" s="35"/>
      <c r="M41" s="35"/>
      <c r="N41" s="36"/>
      <c r="O41" s="35"/>
      <c r="P41" s="37">
        <f>IFERROR(__xludf.DUMMYFUNCTION("""COMPUTED_VALUE"""),1600.0)</f>
        <v>1600</v>
      </c>
      <c r="Q41" s="37">
        <f>IFERROR(__xludf.DUMMYFUNCTION("""COMPUTED_VALUE"""),900.0)</f>
        <v>900</v>
      </c>
      <c r="R41" s="37"/>
      <c r="S41" s="38">
        <f>IFERROR(__xludf.DUMMYFUNCTION("""COMPUTED_VALUE"""),44827.0)</f>
        <v>44827</v>
      </c>
      <c r="T41" s="35"/>
      <c r="U41" s="35"/>
      <c r="V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IFERROR(__xludf.DUMMYFUNCTION("""COMPUTED_VALUE"""),"マルス")</f>
        <v>マルス</v>
      </c>
      <c r="C42" s="35" t="str">
        <f>IFERROR(__xludf.DUMMYFUNCTION("""COMPUTED_VALUE"""),"マルス")</f>
        <v>マルス</v>
      </c>
      <c r="D42" s="35" t="str">
        <f>IFERROR(__xludf.DUMMYFUNCTION("""COMPUTED_VALUE"""),"駒ヶ岳")</f>
        <v>駒ヶ岳</v>
      </c>
      <c r="E42" s="35" t="str">
        <f>IFERROR(__xludf.DUMMYFUNCTION("""COMPUTED_VALUE"""),"シングルモルト")</f>
        <v>シングルモルト</v>
      </c>
      <c r="F42" s="35"/>
      <c r="G42" s="35" t="str">
        <f>IFERROR(__xludf.DUMMYFUNCTION("""COMPUTED_VALUE"""),"駒ヶ岳 2023エディション")</f>
        <v>駒ヶ岳 2023エディション</v>
      </c>
      <c r="H42" s="35"/>
      <c r="I42" s="35"/>
      <c r="J42" s="35"/>
      <c r="K42" s="35"/>
      <c r="L42" s="35"/>
      <c r="M42" s="35"/>
      <c r="N42" s="36"/>
      <c r="O42" s="35"/>
      <c r="P42" s="37">
        <f>IFERROR(__xludf.DUMMYFUNCTION("""COMPUTED_VALUE"""),1600.0)</f>
        <v>1600</v>
      </c>
      <c r="Q42" s="37">
        <f>IFERROR(__xludf.DUMMYFUNCTION("""COMPUTED_VALUE"""),900.0)</f>
        <v>900</v>
      </c>
      <c r="R42" s="37"/>
      <c r="S42" s="38"/>
      <c r="T42" s="35"/>
      <c r="U42" s="35"/>
      <c r="V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IFERROR(__xludf.DUMMYFUNCTION("""COMPUTED_VALUE"""),"マルス")</f>
        <v>マルス</v>
      </c>
      <c r="C43" s="35" t="str">
        <f>IFERROR(__xludf.DUMMYFUNCTION("""COMPUTED_VALUE"""),"マルス")</f>
        <v>マルス</v>
      </c>
      <c r="D43" s="35" t="str">
        <f>IFERROR(__xludf.DUMMYFUNCTION("""COMPUTED_VALUE"""),"駒ヶ岳")</f>
        <v>駒ヶ岳</v>
      </c>
      <c r="E43" s="35" t="str">
        <f>IFERROR(__xludf.DUMMYFUNCTION("""COMPUTED_VALUE"""),"シングルモルト")</f>
        <v>シングルモルト</v>
      </c>
      <c r="F43" s="35"/>
      <c r="G43" s="35" t="str">
        <f>IFERROR(__xludf.DUMMYFUNCTION("""COMPUTED_VALUE"""),"駒ヶ岳 2024エディション")</f>
        <v>駒ヶ岳 2024エディション</v>
      </c>
      <c r="H43" s="35"/>
      <c r="I43" s="35"/>
      <c r="J43" s="35"/>
      <c r="K43" s="35"/>
      <c r="L43" s="35"/>
      <c r="M43" s="35"/>
      <c r="N43" s="36"/>
      <c r="O43" s="35"/>
      <c r="P43" s="37">
        <f>IFERROR(__xludf.DUMMYFUNCTION("""COMPUTED_VALUE"""),1600.0)</f>
        <v>1600</v>
      </c>
      <c r="Q43" s="37">
        <f>IFERROR(__xludf.DUMMYFUNCTION("""COMPUTED_VALUE"""),900.0)</f>
        <v>900</v>
      </c>
      <c r="R43" s="37"/>
      <c r="S43" s="38">
        <f>IFERROR(__xludf.DUMMYFUNCTION("""COMPUTED_VALUE"""),45545.0)</f>
        <v>45545</v>
      </c>
      <c r="T43" s="35"/>
      <c r="U43" s="35"/>
      <c r="V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IFERROR(__xludf.DUMMYFUNCTION("""COMPUTED_VALUE"""),"マルス")</f>
        <v>マルス</v>
      </c>
      <c r="C44" s="35" t="str">
        <f>IFERROR(__xludf.DUMMYFUNCTION("""COMPUTED_VALUE"""),"マルス")</f>
        <v>マルス</v>
      </c>
      <c r="D44" s="35" t="str">
        <f>IFERROR(__xludf.DUMMYFUNCTION("""COMPUTED_VALUE"""),"駒ヶ岳")</f>
        <v>駒ヶ岳</v>
      </c>
      <c r="E44" s="35" t="str">
        <f>IFERROR(__xludf.DUMMYFUNCTION("""COMPUTED_VALUE"""),"シングルモルト")</f>
        <v>シングルモルト</v>
      </c>
      <c r="F44" s="35"/>
      <c r="G44" s="35" t="str">
        <f>IFERROR(__xludf.DUMMYFUNCTION("""COMPUTED_VALUE"""),"駒ヶ岳 IPAカスクフィニッシュ 2020")</f>
        <v>駒ヶ岳 IPAカスクフィニッシュ 2020</v>
      </c>
      <c r="H44" s="35"/>
      <c r="I44" s="35"/>
      <c r="J44" s="35"/>
      <c r="K44" s="35"/>
      <c r="L44" s="35"/>
      <c r="M44" s="35"/>
      <c r="N44" s="36"/>
      <c r="O44" s="35"/>
      <c r="P44" s="37">
        <f>IFERROR(__xludf.DUMMYFUNCTION("""COMPUTED_VALUE"""),2000.0)</f>
        <v>2000</v>
      </c>
      <c r="Q44" s="37">
        <f>IFERROR(__xludf.DUMMYFUNCTION("""COMPUTED_VALUE"""),1100.0)</f>
        <v>1100</v>
      </c>
      <c r="R44" s="37"/>
      <c r="S44" s="38"/>
      <c r="T44" s="35"/>
      <c r="U44" s="35"/>
      <c r="V44" s="35"/>
    </row>
    <row r="45" ht="15.75" customHeight="1">
      <c r="A45" s="35" t="str">
        <f>IFERROR(__xludf.DUMMYFUNCTION("""COMPUTED_VALUE"""),"JP")</f>
        <v>JP</v>
      </c>
      <c r="B45" s="35" t="str">
        <f>IFERROR(__xludf.DUMMYFUNCTION("""COMPUTED_VALUE"""),"マルス")</f>
        <v>マルス</v>
      </c>
      <c r="C45" s="35" t="str">
        <f>IFERROR(__xludf.DUMMYFUNCTION("""COMPUTED_VALUE"""),"マルス")</f>
        <v>マルス</v>
      </c>
      <c r="D45" s="35" t="str">
        <f>IFERROR(__xludf.DUMMYFUNCTION("""COMPUTED_VALUE"""),"駒ヶ岳")</f>
        <v>駒ヶ岳</v>
      </c>
      <c r="E45" s="35" t="str">
        <f>IFERROR(__xludf.DUMMYFUNCTION("""COMPUTED_VALUE"""),"シングルモルト")</f>
        <v>シングルモルト</v>
      </c>
      <c r="F45" s="35"/>
      <c r="G45" s="35" t="str">
        <f>IFERROR(__xludf.DUMMYFUNCTION("""COMPUTED_VALUE"""),"駒ヶ岳 アサギマダラの里 2020")</f>
        <v>駒ヶ岳 アサギマダラの里 2020</v>
      </c>
      <c r="H45" s="35"/>
      <c r="I45" s="35"/>
      <c r="J45" s="35"/>
      <c r="K45" s="35"/>
      <c r="L45" s="35"/>
      <c r="M45" s="35"/>
      <c r="N45" s="36"/>
      <c r="O45" s="35"/>
      <c r="P45" s="37">
        <f>IFERROR(__xludf.DUMMYFUNCTION("""COMPUTED_VALUE"""),2400.0)</f>
        <v>2400</v>
      </c>
      <c r="Q45" s="37">
        <f>IFERROR(__xludf.DUMMYFUNCTION("""COMPUTED_VALUE"""),1300.0)</f>
        <v>1300</v>
      </c>
      <c r="R45" s="37"/>
      <c r="S45" s="38"/>
      <c r="T45" s="35"/>
      <c r="U45" s="35"/>
      <c r="V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IFERROR(__xludf.DUMMYFUNCTION("""COMPUTED_VALUE"""),"マルス")</f>
        <v>マルス</v>
      </c>
      <c r="C46" s="35" t="str">
        <f>IFERROR(__xludf.DUMMYFUNCTION("""COMPUTED_VALUE"""),"マルス")</f>
        <v>マルス</v>
      </c>
      <c r="D46" s="35" t="str">
        <f>IFERROR(__xludf.DUMMYFUNCTION("""COMPUTED_VALUE"""),"駒ヶ岳")</f>
        <v>駒ヶ岳</v>
      </c>
      <c r="E46" s="35" t="str">
        <f>IFERROR(__xludf.DUMMYFUNCTION("""COMPUTED_VALUE"""),"シングルモルト")</f>
        <v>シングルモルト</v>
      </c>
      <c r="F46" s="35"/>
      <c r="G46" s="35" t="str">
        <f>IFERROR(__xludf.DUMMYFUNCTION("""COMPUTED_VALUE"""),"駒ヶ岳 アサギマダラの里 2021")</f>
        <v>駒ヶ岳 アサギマダラの里 2021</v>
      </c>
      <c r="H46" s="35"/>
      <c r="I46" s="35"/>
      <c r="J46" s="35"/>
      <c r="K46" s="35"/>
      <c r="L46" s="35"/>
      <c r="M46" s="35"/>
      <c r="N46" s="36"/>
      <c r="O46" s="35"/>
      <c r="P46" s="37">
        <f>IFERROR(__xludf.DUMMYFUNCTION("""COMPUTED_VALUE"""),2400.0)</f>
        <v>2400</v>
      </c>
      <c r="Q46" s="37">
        <f>IFERROR(__xludf.DUMMYFUNCTION("""COMPUTED_VALUE"""),1300.0)</f>
        <v>1300</v>
      </c>
      <c r="R46" s="37"/>
      <c r="S46" s="38">
        <f>IFERROR(__xludf.DUMMYFUNCTION("""COMPUTED_VALUE"""),44854.0)</f>
        <v>44854</v>
      </c>
      <c r="T46" s="35"/>
      <c r="U46" s="35"/>
      <c r="V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IFERROR(__xludf.DUMMYFUNCTION("""COMPUTED_VALUE"""),"マルス")</f>
        <v>マルス</v>
      </c>
      <c r="C47" s="35" t="str">
        <f>IFERROR(__xludf.DUMMYFUNCTION("""COMPUTED_VALUE"""),"マルス")</f>
        <v>マルス</v>
      </c>
      <c r="D47" s="35" t="str">
        <f>IFERROR(__xludf.DUMMYFUNCTION("""COMPUTED_VALUE"""),"駒ヶ岳")</f>
        <v>駒ヶ岳</v>
      </c>
      <c r="E47" s="35" t="str">
        <f>IFERROR(__xludf.DUMMYFUNCTION("""COMPUTED_VALUE"""),"シングルモルト")</f>
        <v>シングルモルト</v>
      </c>
      <c r="F47" s="35"/>
      <c r="G47" s="35" t="str">
        <f>IFERROR(__xludf.DUMMYFUNCTION("""COMPUTED_VALUE"""),"駒ヶ岳 クリスチャンドルーアンカスクフィニッシュ")</f>
        <v>駒ヶ岳 クリスチャンドルーアンカスクフィニッシュ</v>
      </c>
      <c r="H47" s="35"/>
      <c r="I47" s="35"/>
      <c r="J47" s="35"/>
      <c r="K47" s="35"/>
      <c r="L47" s="35"/>
      <c r="M47" s="35"/>
      <c r="N47" s="36"/>
      <c r="O47" s="35"/>
      <c r="P47" s="37">
        <f>IFERROR(__xludf.DUMMYFUNCTION("""COMPUTED_VALUE"""),2000.0)</f>
        <v>2000</v>
      </c>
      <c r="Q47" s="37">
        <f>IFERROR(__xludf.DUMMYFUNCTION("""COMPUTED_VALUE"""),1100.0)</f>
        <v>1100</v>
      </c>
      <c r="R47" s="37"/>
      <c r="S47" s="38">
        <f>IFERROR(__xludf.DUMMYFUNCTION("""COMPUTED_VALUE"""),44853.0)</f>
        <v>44853</v>
      </c>
      <c r="T47" s="35"/>
      <c r="U47" s="35"/>
      <c r="V47" s="35"/>
    </row>
    <row r="48" ht="15.75" customHeight="1">
      <c r="A48" s="35" t="str">
        <f>IFERROR(__xludf.DUMMYFUNCTION("""COMPUTED_VALUE"""),"JP")</f>
        <v>JP</v>
      </c>
      <c r="B48" s="35" t="str">
        <f>IFERROR(__xludf.DUMMYFUNCTION("""COMPUTED_VALUE"""),"マルス")</f>
        <v>マルス</v>
      </c>
      <c r="C48" s="35" t="str">
        <f>IFERROR(__xludf.DUMMYFUNCTION("""COMPUTED_VALUE"""),"マルス")</f>
        <v>マルス</v>
      </c>
      <c r="D48" s="35" t="str">
        <f>IFERROR(__xludf.DUMMYFUNCTION("""COMPUTED_VALUE"""),"駒ヶ岳")</f>
        <v>駒ヶ岳</v>
      </c>
      <c r="E48" s="35" t="str">
        <f>IFERROR(__xludf.DUMMYFUNCTION("""COMPUTED_VALUE"""),"シングルモルト")</f>
        <v>シングルモルト</v>
      </c>
      <c r="F48" s="35"/>
      <c r="G48" s="35" t="str">
        <f>IFERROR(__xludf.DUMMYFUNCTION("""COMPUTED_VALUE"""),"駒ヶ岳 シェリー&amp;アメリカンオーク 2011")</f>
        <v>駒ヶ岳 シェリー&amp;アメリカンオーク 2011</v>
      </c>
      <c r="H48" s="35"/>
      <c r="I48" s="35"/>
      <c r="J48" s="35"/>
      <c r="K48" s="35"/>
      <c r="L48" s="35"/>
      <c r="M48" s="35"/>
      <c r="N48" s="36"/>
      <c r="O48" s="35"/>
      <c r="P48" s="37">
        <f>IFERROR(__xludf.DUMMYFUNCTION("""COMPUTED_VALUE"""),2000.0)</f>
        <v>2000</v>
      </c>
      <c r="Q48" s="37">
        <f>IFERROR(__xludf.DUMMYFUNCTION("""COMPUTED_VALUE"""),1100.0)</f>
        <v>1100</v>
      </c>
      <c r="R48" s="37"/>
      <c r="S48" s="38">
        <f>IFERROR(__xludf.DUMMYFUNCTION("""COMPUTED_VALUE"""),45328.0)</f>
        <v>45328</v>
      </c>
      <c r="T48" s="35"/>
      <c r="U48" s="35"/>
      <c r="V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IFERROR(__xludf.DUMMYFUNCTION("""COMPUTED_VALUE"""),"マルス")</f>
        <v>マルス</v>
      </c>
      <c r="C49" s="35" t="str">
        <f>IFERROR(__xludf.DUMMYFUNCTION("""COMPUTED_VALUE"""),"マルス")</f>
        <v>マルス</v>
      </c>
      <c r="D49" s="35" t="str">
        <f>IFERROR(__xludf.DUMMYFUNCTION("""COMPUTED_VALUE"""),"駒ヶ岳")</f>
        <v>駒ヶ岳</v>
      </c>
      <c r="E49" s="35" t="str">
        <f>IFERROR(__xludf.DUMMYFUNCTION("""COMPUTED_VALUE"""),"シングルモルト")</f>
        <v>シングルモルト</v>
      </c>
      <c r="F49" s="35"/>
      <c r="G49" s="35" t="str">
        <f>IFERROR(__xludf.DUMMYFUNCTION("""COMPUTED_VALUE"""),"駒ヶ岳 シェリー&amp;アメリカンオーク 2011 ワインカスクフィニッシュ")</f>
        <v>駒ヶ岳 シェリー&amp;アメリカンオーク 2011 ワインカスクフィニッシュ</v>
      </c>
      <c r="H49" s="35"/>
      <c r="I49" s="35"/>
      <c r="J49" s="35"/>
      <c r="K49" s="35"/>
      <c r="L49" s="35"/>
      <c r="M49" s="35"/>
      <c r="N49" s="36"/>
      <c r="O49" s="35"/>
      <c r="P49" s="37">
        <f>IFERROR(__xludf.DUMMYFUNCTION("""COMPUTED_VALUE"""),2000.0)</f>
        <v>2000</v>
      </c>
      <c r="Q49" s="37">
        <f>IFERROR(__xludf.DUMMYFUNCTION("""COMPUTED_VALUE"""),1100.0)</f>
        <v>1100</v>
      </c>
      <c r="R49" s="37"/>
      <c r="S49" s="38"/>
      <c r="T49" s="35"/>
      <c r="U49" s="35"/>
      <c r="V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IFERROR(__xludf.DUMMYFUNCTION("""COMPUTED_VALUE"""),"マルス")</f>
        <v>マルス</v>
      </c>
      <c r="C50" s="35" t="str">
        <f>IFERROR(__xludf.DUMMYFUNCTION("""COMPUTED_VALUE"""),"マルス")</f>
        <v>マルス</v>
      </c>
      <c r="D50" s="35" t="str">
        <f>IFERROR(__xludf.DUMMYFUNCTION("""COMPUTED_VALUE"""),"駒ヶ岳")</f>
        <v>駒ヶ岳</v>
      </c>
      <c r="E50" s="35" t="str">
        <f>IFERROR(__xludf.DUMMYFUNCTION("""COMPUTED_VALUE"""),"シングルモルト")</f>
        <v>シングルモルト</v>
      </c>
      <c r="F50" s="35"/>
      <c r="G50" s="35" t="str">
        <f>IFERROR(__xludf.DUMMYFUNCTION("""COMPUTED_VALUE"""),"駒ヶ岳 ダブルセラーズ 2018")</f>
        <v>駒ヶ岳 ダブルセラーズ 2018</v>
      </c>
      <c r="H50" s="35"/>
      <c r="I50" s="35"/>
      <c r="J50" s="35"/>
      <c r="K50" s="35"/>
      <c r="L50" s="35"/>
      <c r="M50" s="35"/>
      <c r="N50" s="36"/>
      <c r="O50" s="35"/>
      <c r="P50" s="37">
        <f>IFERROR(__xludf.DUMMYFUNCTION("""COMPUTED_VALUE"""),2000.0)</f>
        <v>2000</v>
      </c>
      <c r="Q50" s="37">
        <f>IFERROR(__xludf.DUMMYFUNCTION("""COMPUTED_VALUE"""),1100.0)</f>
        <v>1100</v>
      </c>
      <c r="R50" s="37"/>
      <c r="S50" s="38">
        <f>IFERROR(__xludf.DUMMYFUNCTION("""COMPUTED_VALUE"""),45703.0)</f>
        <v>45703</v>
      </c>
      <c r="T50" s="35"/>
      <c r="U50" s="35"/>
      <c r="V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IFERROR(__xludf.DUMMYFUNCTION("""COMPUTED_VALUE"""),"マルス")</f>
        <v>マルス</v>
      </c>
      <c r="C51" s="35" t="str">
        <f>IFERROR(__xludf.DUMMYFUNCTION("""COMPUTED_VALUE"""),"マルス")</f>
        <v>マルス</v>
      </c>
      <c r="D51" s="35" t="str">
        <f>IFERROR(__xludf.DUMMYFUNCTION("""COMPUTED_VALUE"""),"駒ヶ岳")</f>
        <v>駒ヶ岳</v>
      </c>
      <c r="E51" s="35" t="str">
        <f>IFERROR(__xludf.DUMMYFUNCTION("""COMPUTED_VALUE"""),"シングルモルト")</f>
        <v>シングルモルト</v>
      </c>
      <c r="F51" s="35"/>
      <c r="G51" s="35" t="str">
        <f>IFERROR(__xludf.DUMMYFUNCTION("""COMPUTED_VALUE"""),"駒ヶ岳 ダブルセラーズ 2019")</f>
        <v>駒ヶ岳 ダブルセラーズ 2019</v>
      </c>
      <c r="H51" s="35"/>
      <c r="I51" s="35"/>
      <c r="J51" s="35"/>
      <c r="K51" s="35"/>
      <c r="L51" s="35"/>
      <c r="M51" s="35"/>
      <c r="N51" s="36"/>
      <c r="O51" s="35"/>
      <c r="P51" s="37">
        <f>IFERROR(__xludf.DUMMYFUNCTION("""COMPUTED_VALUE"""),2000.0)</f>
        <v>2000</v>
      </c>
      <c r="Q51" s="37">
        <f>IFERROR(__xludf.DUMMYFUNCTION("""COMPUTED_VALUE"""),1100.0)</f>
        <v>1100</v>
      </c>
      <c r="R51" s="37"/>
      <c r="S51" s="38">
        <f>IFERROR(__xludf.DUMMYFUNCTION("""COMPUTED_VALUE"""),45704.0)</f>
        <v>45704</v>
      </c>
      <c r="T51" s="35"/>
      <c r="U51" s="35"/>
      <c r="V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IFERROR(__xludf.DUMMYFUNCTION("""COMPUTED_VALUE"""),"マルス")</f>
        <v>マルス</v>
      </c>
      <c r="C52" s="35" t="str">
        <f>IFERROR(__xludf.DUMMYFUNCTION("""COMPUTED_VALUE"""),"マルス")</f>
        <v>マルス</v>
      </c>
      <c r="D52" s="35" t="str">
        <f>IFERROR(__xludf.DUMMYFUNCTION("""COMPUTED_VALUE"""),"駒ヶ岳")</f>
        <v>駒ヶ岳</v>
      </c>
      <c r="E52" s="35" t="str">
        <f>IFERROR(__xludf.DUMMYFUNCTION("""COMPUTED_VALUE"""),"シングルモルト")</f>
        <v>シングルモルト</v>
      </c>
      <c r="F52" s="35"/>
      <c r="G52" s="35" t="str">
        <f>IFERROR(__xludf.DUMMYFUNCTION("""COMPUTED_VALUE"""),"駒ヶ岳 屋久島エイジング 2014")</f>
        <v>駒ヶ岳 屋久島エイジング 2014</v>
      </c>
      <c r="H52" s="35"/>
      <c r="I52" s="35"/>
      <c r="J52" s="35"/>
      <c r="K52" s="35"/>
      <c r="L52" s="35"/>
      <c r="M52" s="35"/>
      <c r="N52" s="36"/>
      <c r="O52" s="35"/>
      <c r="P52" s="37">
        <f>IFERROR(__xludf.DUMMYFUNCTION("""COMPUTED_VALUE"""),2000.0)</f>
        <v>2000</v>
      </c>
      <c r="Q52" s="37">
        <f>IFERROR(__xludf.DUMMYFUNCTION("""COMPUTED_VALUE"""),1100.0)</f>
        <v>1100</v>
      </c>
      <c r="R52" s="37"/>
      <c r="S52" s="38"/>
      <c r="T52" s="35"/>
      <c r="U52" s="35"/>
      <c r="V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IFERROR(__xludf.DUMMYFUNCTION("""COMPUTED_VALUE"""),"マルス")</f>
        <v>マルス</v>
      </c>
      <c r="C53" s="35" t="str">
        <f>IFERROR(__xludf.DUMMYFUNCTION("""COMPUTED_VALUE"""),"マルス")</f>
        <v>マルス</v>
      </c>
      <c r="D53" s="35" t="str">
        <f>IFERROR(__xludf.DUMMYFUNCTION("""COMPUTED_VALUE"""),"駒ヶ岳")</f>
        <v>駒ヶ岳</v>
      </c>
      <c r="E53" s="35" t="str">
        <f>IFERROR(__xludf.DUMMYFUNCTION("""COMPUTED_VALUE"""),"シングルモルト")</f>
        <v>シングルモルト</v>
      </c>
      <c r="F53" s="35"/>
      <c r="G53" s="35" t="str">
        <f>IFERROR(__xludf.DUMMYFUNCTION("""COMPUTED_VALUE"""),"駒ヶ岳 小彼岸桜")</f>
        <v>駒ヶ岳 小彼岸桜</v>
      </c>
      <c r="H53" s="35" t="str">
        <f>IFERROR(__xludf.DUMMYFUNCTION("""COMPUTED_VALUE"""),"ネイチャーオブ信州シリーズ")</f>
        <v>ネイチャーオブ信州シリーズ</v>
      </c>
      <c r="I53" s="35"/>
      <c r="J53" s="35"/>
      <c r="K53" s="35"/>
      <c r="L53" s="35"/>
      <c r="M53" s="35"/>
      <c r="N53" s="36"/>
      <c r="O53" s="35"/>
      <c r="P53" s="37">
        <f>IFERROR(__xludf.DUMMYFUNCTION("""COMPUTED_VALUE"""),2600.0)</f>
        <v>2600</v>
      </c>
      <c r="Q53" s="37">
        <f>IFERROR(__xludf.DUMMYFUNCTION("""COMPUTED_VALUE"""),1400.0)</f>
        <v>1400</v>
      </c>
      <c r="R53" s="37"/>
      <c r="S53" s="38">
        <f>IFERROR(__xludf.DUMMYFUNCTION("""COMPUTED_VALUE"""),45325.0)</f>
        <v>45325</v>
      </c>
      <c r="T53" s="35"/>
      <c r="U53" s="35"/>
      <c r="V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IFERROR(__xludf.DUMMYFUNCTION("""COMPUTED_VALUE"""),"マルス")</f>
        <v>マルス</v>
      </c>
      <c r="C54" s="35" t="str">
        <f>IFERROR(__xludf.DUMMYFUNCTION("""COMPUTED_VALUE"""),"マルス")</f>
        <v>マルス</v>
      </c>
      <c r="D54" s="35" t="str">
        <f>IFERROR(__xludf.DUMMYFUNCTION("""COMPUTED_VALUE"""),"駒ヶ岳")</f>
        <v>駒ヶ岳</v>
      </c>
      <c r="E54" s="35" t="str">
        <f>IFERROR(__xludf.DUMMYFUNCTION("""COMPUTED_VALUE"""),"シングルモルト")</f>
        <v>シングルモルト</v>
      </c>
      <c r="F54" s="35"/>
      <c r="G54" s="35" t="str">
        <f>IFERROR(__xludf.DUMMYFUNCTION("""COMPUTED_VALUE"""),"駒ヶ岳 信濃蒲公英")</f>
        <v>駒ヶ岳 信濃蒲公英</v>
      </c>
      <c r="H54" s="35" t="str">
        <f>IFERROR(__xludf.DUMMYFUNCTION("""COMPUTED_VALUE"""),"ネイチャーオブ信州シリーズ")</f>
        <v>ネイチャーオブ信州シリーズ</v>
      </c>
      <c r="I54" s="35"/>
      <c r="J54" s="35"/>
      <c r="K54" s="35"/>
      <c r="L54" s="35"/>
      <c r="M54" s="35"/>
      <c r="N54" s="36"/>
      <c r="O54" s="35"/>
      <c r="P54" s="37">
        <f>IFERROR(__xludf.DUMMYFUNCTION("""COMPUTED_VALUE"""),2600.0)</f>
        <v>2600</v>
      </c>
      <c r="Q54" s="37">
        <f>IFERROR(__xludf.DUMMYFUNCTION("""COMPUTED_VALUE"""),1400.0)</f>
        <v>1400</v>
      </c>
      <c r="R54" s="37"/>
      <c r="S54" s="38">
        <f>IFERROR(__xludf.DUMMYFUNCTION("""COMPUTED_VALUE"""),45327.0)</f>
        <v>45327</v>
      </c>
      <c r="T54" s="35"/>
      <c r="U54" s="35"/>
      <c r="V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IFERROR(__xludf.DUMMYFUNCTION("""COMPUTED_VALUE"""),"マルス")</f>
        <v>マルス</v>
      </c>
      <c r="C55" s="35" t="str">
        <f>IFERROR(__xludf.DUMMYFUNCTION("""COMPUTED_VALUE"""),"マルス")</f>
        <v>マルス</v>
      </c>
      <c r="D55" s="35" t="str">
        <f>IFERROR(__xludf.DUMMYFUNCTION("""COMPUTED_VALUE"""),"駒ヶ岳")</f>
        <v>駒ヶ岳</v>
      </c>
      <c r="E55" s="35" t="str">
        <f>IFERROR(__xludf.DUMMYFUNCTION("""COMPUTED_VALUE"""),"シングルモルト")</f>
        <v>シングルモルト</v>
      </c>
      <c r="F55" s="35"/>
      <c r="G55" s="35" t="str">
        <f>IFERROR(__xludf.DUMMYFUNCTION("""COMPUTED_VALUE"""),"駒ヶ岳 竜胆")</f>
        <v>駒ヶ岳 竜胆</v>
      </c>
      <c r="H55" s="35" t="str">
        <f>IFERROR(__xludf.DUMMYFUNCTION("""COMPUTED_VALUE"""),"ネイチャーオブ信州シリーズ")</f>
        <v>ネイチャーオブ信州シリーズ</v>
      </c>
      <c r="I55" s="35"/>
      <c r="J55" s="35"/>
      <c r="K55" s="35"/>
      <c r="L55" s="35"/>
      <c r="M55" s="35"/>
      <c r="N55" s="36"/>
      <c r="O55" s="35"/>
      <c r="P55" s="37">
        <f>IFERROR(__xludf.DUMMYFUNCTION("""COMPUTED_VALUE"""),2600.0)</f>
        <v>2600</v>
      </c>
      <c r="Q55" s="37">
        <f>IFERROR(__xludf.DUMMYFUNCTION("""COMPUTED_VALUE"""),1400.0)</f>
        <v>1400</v>
      </c>
      <c r="R55" s="37"/>
      <c r="S55" s="38">
        <f>IFERROR(__xludf.DUMMYFUNCTION("""COMPUTED_VALUE"""),45324.0)</f>
        <v>45324</v>
      </c>
      <c r="T55" s="35"/>
      <c r="U55" s="35"/>
      <c r="V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IFERROR(__xludf.DUMMYFUNCTION("""COMPUTED_VALUE"""),"マルス")</f>
        <v>マルス</v>
      </c>
      <c r="C56" s="35" t="str">
        <f>IFERROR(__xludf.DUMMYFUNCTION("""COMPUTED_VALUE"""),"マルス")</f>
        <v>マルス</v>
      </c>
      <c r="D56" s="35" t="str">
        <f>IFERROR(__xludf.DUMMYFUNCTION("""COMPUTED_VALUE"""),"駒ヶ岳")</f>
        <v>駒ヶ岳</v>
      </c>
      <c r="E56" s="35" t="str">
        <f>IFERROR(__xludf.DUMMYFUNCTION("""COMPUTED_VALUE"""),"シングルモルト")</f>
        <v>シングルモルト</v>
      </c>
      <c r="F56" s="35"/>
      <c r="G56" s="35" t="str">
        <f>IFERROR(__xludf.DUMMYFUNCTION("""COMPUTED_VALUE"""),"駒ヶ岳 27年")</f>
        <v>駒ヶ岳 27年</v>
      </c>
      <c r="H56" s="35"/>
      <c r="I56" s="35"/>
      <c r="J56" s="35"/>
      <c r="K56" s="35"/>
      <c r="L56" s="35"/>
      <c r="M56" s="35"/>
      <c r="N56" s="36"/>
      <c r="O56" s="35"/>
      <c r="P56" s="37"/>
      <c r="Q56" s="37"/>
      <c r="R56" s="37">
        <f>IFERROR(__xludf.DUMMYFUNCTION("""COMPUTED_VALUE"""),4000.0)</f>
        <v>4000</v>
      </c>
      <c r="S56" s="38">
        <f>IFERROR(__xludf.DUMMYFUNCTION("""COMPUTED_VALUE"""),45686.0)</f>
        <v>45686</v>
      </c>
      <c r="T56" s="35"/>
      <c r="U56" s="35"/>
      <c r="V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IFERROR(__xludf.DUMMYFUNCTION("""COMPUTED_VALUE"""),"マルス")</f>
        <v>マルス</v>
      </c>
      <c r="C57" s="35" t="str">
        <f>IFERROR(__xludf.DUMMYFUNCTION("""COMPUTED_VALUE"""),"マルス")</f>
        <v>マルス</v>
      </c>
      <c r="D57" s="35" t="str">
        <f>IFERROR(__xludf.DUMMYFUNCTION("""COMPUTED_VALUE"""),"駒ヶ岳")</f>
        <v>駒ヶ岳</v>
      </c>
      <c r="E57" s="35" t="str">
        <f>IFERROR(__xludf.DUMMYFUNCTION("""COMPUTED_VALUE"""),"シングルモルト")</f>
        <v>シングルモルト</v>
      </c>
      <c r="F57" s="35"/>
      <c r="G57" s="35" t="str">
        <f>IFERROR(__xludf.DUMMYFUNCTION("""COMPUTED_VALUE"""),"駒ヶ岳 30年 アメリカンホワイトオーク")</f>
        <v>駒ヶ岳 30年 アメリカンホワイトオーク</v>
      </c>
      <c r="H57" s="35"/>
      <c r="I57" s="35"/>
      <c r="J57" s="35"/>
      <c r="K57" s="35"/>
      <c r="L57" s="35"/>
      <c r="M57" s="35"/>
      <c r="N57" s="36"/>
      <c r="O57" s="35"/>
      <c r="P57" s="37"/>
      <c r="Q57" s="37"/>
      <c r="R57" s="37">
        <f>IFERROR(__xludf.DUMMYFUNCTION("""COMPUTED_VALUE"""),7000.0)</f>
        <v>7000</v>
      </c>
      <c r="S57" s="38">
        <f>IFERROR(__xludf.DUMMYFUNCTION("""COMPUTED_VALUE"""),45005.0)</f>
        <v>45005</v>
      </c>
      <c r="T57" s="35"/>
      <c r="U57" s="35"/>
      <c r="V57" s="35"/>
    </row>
    <row r="58" ht="15.75" customHeight="1">
      <c r="A58" s="35" t="str">
        <f>IFERROR(__xludf.DUMMYFUNCTION("""COMPUTED_VALUE"""),"JP")</f>
        <v>JP</v>
      </c>
      <c r="B58" s="35" t="str">
        <f>IFERROR(__xludf.DUMMYFUNCTION("""COMPUTED_VALUE"""),"マルス")</f>
        <v>マルス</v>
      </c>
      <c r="C58" s="35" t="str">
        <f>IFERROR(__xludf.DUMMYFUNCTION("""COMPUTED_VALUE"""),"マルス")</f>
        <v>マルス</v>
      </c>
      <c r="D58" s="35" t="str">
        <f>IFERROR(__xludf.DUMMYFUNCTION("""COMPUTED_VALUE"""),"駒ヶ岳")</f>
        <v>駒ヶ岳</v>
      </c>
      <c r="E58" s="35" t="str">
        <f>IFERROR(__xludf.DUMMYFUNCTION("""COMPUTED_VALUE"""),"シングルモルト")</f>
        <v>シングルモルト</v>
      </c>
      <c r="F58" s="35"/>
      <c r="G58" s="35" t="str">
        <f>IFERROR(__xludf.DUMMYFUNCTION("""COMPUTED_VALUE"""),"駒ヶ岳 30年 シェリーカスク")</f>
        <v>駒ヶ岳 30年 シェリーカスク</v>
      </c>
      <c r="H58" s="35"/>
      <c r="I58" s="35"/>
      <c r="J58" s="35"/>
      <c r="K58" s="35"/>
      <c r="L58" s="35"/>
      <c r="M58" s="35"/>
      <c r="N58" s="36"/>
      <c r="O58" s="35"/>
      <c r="P58" s="37"/>
      <c r="Q58" s="37"/>
      <c r="R58" s="37">
        <f>IFERROR(__xludf.DUMMYFUNCTION("""COMPUTED_VALUE"""),7000.0)</f>
        <v>7000</v>
      </c>
      <c r="S58" s="38">
        <f>IFERROR(__xludf.DUMMYFUNCTION("""COMPUTED_VALUE"""),45006.0)</f>
        <v>45006</v>
      </c>
      <c r="T58" s="35"/>
      <c r="U58" s="35"/>
      <c r="V58" s="35"/>
    </row>
    <row r="59" ht="15.75" customHeight="1">
      <c r="A59" s="35" t="str">
        <f>IFERROR(__xludf.DUMMYFUNCTION("""COMPUTED_VALUE"""),"JP")</f>
        <v>JP</v>
      </c>
      <c r="B59" s="35" t="str">
        <f>IFERROR(__xludf.DUMMYFUNCTION("""COMPUTED_VALUE"""),"マルス")</f>
        <v>マルス</v>
      </c>
      <c r="C59" s="35" t="str">
        <f>IFERROR(__xludf.DUMMYFUNCTION("""COMPUTED_VALUE"""),"マルス")</f>
        <v>マルス</v>
      </c>
      <c r="D59" s="35" t="str">
        <f>IFERROR(__xludf.DUMMYFUNCTION("""COMPUTED_VALUE"""),"津貫")</f>
        <v>津貫</v>
      </c>
      <c r="E59" s="35" t="str">
        <f>IFERROR(__xludf.DUMMYFUNCTION("""COMPUTED_VALUE"""),"シングルモルト")</f>
        <v>シングルモルト</v>
      </c>
      <c r="F59" s="35"/>
      <c r="G59" s="35" t="str">
        <f>IFERROR(__xludf.DUMMYFUNCTION("""COMPUTED_VALUE"""),"津貫 2022エディション")</f>
        <v>津貫 2022エディション</v>
      </c>
      <c r="H59" s="35"/>
      <c r="I59" s="35"/>
      <c r="J59" s="35"/>
      <c r="K59" s="35"/>
      <c r="L59" s="35"/>
      <c r="M59" s="35"/>
      <c r="N59" s="36"/>
      <c r="O59" s="35"/>
      <c r="P59" s="37">
        <f>IFERROR(__xludf.DUMMYFUNCTION("""COMPUTED_VALUE"""),1600.0)</f>
        <v>1600</v>
      </c>
      <c r="Q59" s="37">
        <f>IFERROR(__xludf.DUMMYFUNCTION("""COMPUTED_VALUE"""),900.0)</f>
        <v>900</v>
      </c>
      <c r="R59" s="37"/>
      <c r="S59" s="38">
        <f>IFERROR(__xludf.DUMMYFUNCTION("""COMPUTED_VALUE"""),45773.0)</f>
        <v>45773</v>
      </c>
      <c r="T59" s="35"/>
      <c r="U59" s="35"/>
      <c r="V59" s="35"/>
    </row>
    <row r="60" ht="15.75" customHeight="1">
      <c r="A60" s="35" t="str">
        <f>IFERROR(__xludf.DUMMYFUNCTION("""COMPUTED_VALUE"""),"JP")</f>
        <v>JP</v>
      </c>
      <c r="B60" s="35" t="str">
        <f>IFERROR(__xludf.DUMMYFUNCTION("""COMPUTED_VALUE"""),"マルス")</f>
        <v>マルス</v>
      </c>
      <c r="C60" s="35" t="str">
        <f>IFERROR(__xludf.DUMMYFUNCTION("""COMPUTED_VALUE"""),"マルス")</f>
        <v>マルス</v>
      </c>
      <c r="D60" s="35" t="str">
        <f>IFERROR(__xludf.DUMMYFUNCTION("""COMPUTED_VALUE"""),"津貫")</f>
        <v>津貫</v>
      </c>
      <c r="E60" s="35" t="str">
        <f>IFERROR(__xludf.DUMMYFUNCTION("""COMPUTED_VALUE"""),"シングルモルト")</f>
        <v>シングルモルト</v>
      </c>
      <c r="F60" s="35"/>
      <c r="G60" s="35" t="str">
        <f>IFERROR(__xludf.DUMMYFUNCTION("""COMPUTED_VALUE"""),"津貫 2023エディション")</f>
        <v>津貫 2023エディション</v>
      </c>
      <c r="H60" s="35"/>
      <c r="I60" s="35"/>
      <c r="J60" s="35"/>
      <c r="K60" s="35"/>
      <c r="L60" s="35" t="str">
        <f>IFERROR(__xludf.DUMMYFUNCTION("""COMPUTED_VALUE"""),"✓")</f>
        <v>✓</v>
      </c>
      <c r="M60" s="35"/>
      <c r="N60" s="36"/>
      <c r="O60" s="35"/>
      <c r="P60" s="37">
        <f>IFERROR(__xludf.DUMMYFUNCTION("""COMPUTED_VALUE"""),1400.0)</f>
        <v>1400</v>
      </c>
      <c r="Q60" s="37">
        <f>IFERROR(__xludf.DUMMYFUNCTION("""COMPUTED_VALUE"""),800.0)</f>
        <v>800</v>
      </c>
      <c r="R60" s="37"/>
      <c r="S60" s="38">
        <f>IFERROR(__xludf.DUMMYFUNCTION("""COMPUTED_VALUE"""),45774.0)</f>
        <v>45774</v>
      </c>
      <c r="T60" s="35"/>
      <c r="U60" s="35"/>
      <c r="V60" s="35"/>
    </row>
    <row r="61" ht="15.75" customHeight="1">
      <c r="A61" s="35" t="str">
        <f>IFERROR(__xludf.DUMMYFUNCTION("""COMPUTED_VALUE"""),"JP")</f>
        <v>JP</v>
      </c>
      <c r="B61" s="35" t="str">
        <f>IFERROR(__xludf.DUMMYFUNCTION("""COMPUTED_VALUE"""),"マルス")</f>
        <v>マルス</v>
      </c>
      <c r="C61" s="35" t="str">
        <f>IFERROR(__xludf.DUMMYFUNCTION("""COMPUTED_VALUE"""),"マルス")</f>
        <v>マルス</v>
      </c>
      <c r="D61" s="35" t="str">
        <f>IFERROR(__xludf.DUMMYFUNCTION("""COMPUTED_VALUE"""),"津貫")</f>
        <v>津貫</v>
      </c>
      <c r="E61" s="35" t="str">
        <f>IFERROR(__xludf.DUMMYFUNCTION("""COMPUTED_VALUE"""),"シングルモルト")</f>
        <v>シングルモルト</v>
      </c>
      <c r="F61" s="35"/>
      <c r="G61" s="35" t="str">
        <f>IFERROR(__xludf.DUMMYFUNCTION("""COMPUTED_VALUE"""),"津貫 ファースト")</f>
        <v>津貫 ファースト</v>
      </c>
      <c r="H61" s="35"/>
      <c r="I61" s="35"/>
      <c r="J61" s="35"/>
      <c r="K61" s="35"/>
      <c r="L61" s="35"/>
      <c r="M61" s="35"/>
      <c r="N61" s="36"/>
      <c r="O61" s="35"/>
      <c r="P61" s="37">
        <f>IFERROR(__xludf.DUMMYFUNCTION("""COMPUTED_VALUE"""),2000.0)</f>
        <v>2000</v>
      </c>
      <c r="Q61" s="37">
        <f>IFERROR(__xludf.DUMMYFUNCTION("""COMPUTED_VALUE"""),1100.0)</f>
        <v>1100</v>
      </c>
      <c r="R61" s="37"/>
      <c r="S61" s="38"/>
      <c r="T61" s="35"/>
      <c r="U61" s="35"/>
      <c r="V61" s="35"/>
    </row>
    <row r="62" ht="15.75" customHeight="1">
      <c r="A62" s="35" t="str">
        <f>IFERROR(__xludf.DUMMYFUNCTION("""COMPUTED_VALUE"""),"JP")</f>
        <v>JP</v>
      </c>
      <c r="B62" s="35" t="str">
        <f>IFERROR(__xludf.DUMMYFUNCTION("""COMPUTED_VALUE"""),"マルス")</f>
        <v>マルス</v>
      </c>
      <c r="C62" s="35" t="str">
        <f>IFERROR(__xludf.DUMMYFUNCTION("""COMPUTED_VALUE"""),"マルス")</f>
        <v>マルス</v>
      </c>
      <c r="D62" s="35" t="str">
        <f>IFERROR(__xludf.DUMMYFUNCTION("""COMPUTED_VALUE"""),"津貫")</f>
        <v>津貫</v>
      </c>
      <c r="E62" s="35" t="str">
        <f>IFERROR(__xludf.DUMMYFUNCTION("""COMPUTED_VALUE"""),"シングルモルト")</f>
        <v>シングルモルト</v>
      </c>
      <c r="F62" s="35"/>
      <c r="G62" s="35" t="str">
        <f>IFERROR(__xludf.DUMMYFUNCTION("""COMPUTED_VALUE"""),"津貫 ピーテッド")</f>
        <v>津貫 ピーテッド</v>
      </c>
      <c r="H62" s="35"/>
      <c r="I62" s="35"/>
      <c r="J62" s="35"/>
      <c r="K62" s="35"/>
      <c r="L62" s="35"/>
      <c r="M62" s="35"/>
      <c r="N62" s="36"/>
      <c r="O62" s="35"/>
      <c r="P62" s="37">
        <f>IFERROR(__xludf.DUMMYFUNCTION("""COMPUTED_VALUE"""),2000.0)</f>
        <v>2000</v>
      </c>
      <c r="Q62" s="37">
        <f>IFERROR(__xludf.DUMMYFUNCTION("""COMPUTED_VALUE"""),1100.0)</f>
        <v>1100</v>
      </c>
      <c r="R62" s="37"/>
      <c r="S62" s="38">
        <f>IFERROR(__xludf.DUMMYFUNCTION("""COMPUTED_VALUE"""),45275.0)</f>
        <v>45275</v>
      </c>
      <c r="T62" s="35"/>
      <c r="U62" s="35"/>
      <c r="V62" s="35"/>
    </row>
    <row r="63" ht="15.75" customHeight="1">
      <c r="A63" s="35" t="str">
        <f>IFERROR(__xludf.DUMMYFUNCTION("""COMPUTED_VALUE"""),"JP")</f>
        <v>JP</v>
      </c>
      <c r="B63" s="35" t="str">
        <f>IFERROR(__xludf.DUMMYFUNCTION("""COMPUTED_VALUE"""),"マルス")</f>
        <v>マルス</v>
      </c>
      <c r="C63" s="35" t="str">
        <f>IFERROR(__xludf.DUMMYFUNCTION("""COMPUTED_VALUE"""),"マルス")</f>
        <v>マルス</v>
      </c>
      <c r="D63" s="35" t="str">
        <f>IFERROR(__xludf.DUMMYFUNCTION("""COMPUTED_VALUE"""),"駒ヶ岳")</f>
        <v>駒ヶ岳</v>
      </c>
      <c r="E63" s="35" t="str">
        <f>IFERROR(__xludf.DUMMYFUNCTION("""COMPUTED_VALUE"""),"ダブルカスク")</f>
        <v>ダブルカスク</v>
      </c>
      <c r="F63" s="35"/>
      <c r="G63" s="35" t="str">
        <f>IFERROR(__xludf.DUMMYFUNCTION("""COMPUTED_VALUE"""),"駒ヶ岳 ダブルカスク #1767 &amp; #1877")</f>
        <v>駒ヶ岳 ダブルカスク #1767 &amp; #1877</v>
      </c>
      <c r="H63" s="35" t="str">
        <f>IFERROR(__xludf.DUMMYFUNCTION("""COMPUTED_VALUE"""),"for BAR BARNS &amp; ePower")</f>
        <v>for BAR BARNS &amp; ePower</v>
      </c>
      <c r="I63" s="35"/>
      <c r="J63" s="35"/>
      <c r="K63" s="35"/>
      <c r="L63" s="35"/>
      <c r="M63" s="35"/>
      <c r="N63" s="36"/>
      <c r="O63" s="35"/>
      <c r="P63" s="37">
        <f>IFERROR(__xludf.DUMMYFUNCTION("""COMPUTED_VALUE"""),2400.0)</f>
        <v>2400</v>
      </c>
      <c r="Q63" s="37">
        <f>IFERROR(__xludf.DUMMYFUNCTION("""COMPUTED_VALUE"""),1300.0)</f>
        <v>1300</v>
      </c>
      <c r="R63" s="37"/>
      <c r="S63" s="38">
        <f>IFERROR(__xludf.DUMMYFUNCTION("""COMPUTED_VALUE"""),45029.0)</f>
        <v>45029</v>
      </c>
      <c r="T63" s="35"/>
      <c r="U63" s="35"/>
      <c r="V63" s="35"/>
    </row>
    <row r="64" ht="15.75" customHeight="1">
      <c r="A64" s="35" t="str">
        <f>IFERROR(__xludf.DUMMYFUNCTION("""COMPUTED_VALUE"""),"JP")</f>
        <v>JP</v>
      </c>
      <c r="B64" s="35" t="str">
        <f>IFERROR(__xludf.DUMMYFUNCTION("""COMPUTED_VALUE"""),"マルス")</f>
        <v>マルス</v>
      </c>
      <c r="C64" s="35" t="str">
        <f>IFERROR(__xludf.DUMMYFUNCTION("""COMPUTED_VALUE"""),"マルス")</f>
        <v>マルス</v>
      </c>
      <c r="D64" s="35" t="str">
        <f>IFERROR(__xludf.DUMMYFUNCTION("""COMPUTED_VALUE"""),"駒ヶ岳")</f>
        <v>駒ヶ岳</v>
      </c>
      <c r="E64" s="35" t="str">
        <f>IFERROR(__xludf.DUMMYFUNCTION("""COMPUTED_VALUE"""),"ダブルカスク")</f>
        <v>ダブルカスク</v>
      </c>
      <c r="F64" s="35"/>
      <c r="G64" s="35" t="str">
        <f>IFERROR(__xludf.DUMMYFUNCTION("""COMPUTED_VALUE"""),"駒ヶ岳 ダブルカスク 2016 #3302 &amp; #3321")</f>
        <v>駒ヶ岳 ダブルカスク 2016 #3302 &amp; #3321</v>
      </c>
      <c r="H64" s="35"/>
      <c r="I64" s="35"/>
      <c r="J64" s="35"/>
      <c r="K64" s="35"/>
      <c r="L64" s="35"/>
      <c r="M64" s="35"/>
      <c r="N64" s="36"/>
      <c r="O64" s="35"/>
      <c r="P64" s="37">
        <f>IFERROR(__xludf.DUMMYFUNCTION("""COMPUTED_VALUE"""),2400.0)</f>
        <v>2400</v>
      </c>
      <c r="Q64" s="37">
        <f>IFERROR(__xludf.DUMMYFUNCTION("""COMPUTED_VALUE"""),1300.0)</f>
        <v>1300</v>
      </c>
      <c r="R64" s="37"/>
      <c r="S64" s="38">
        <f>IFERROR(__xludf.DUMMYFUNCTION("""COMPUTED_VALUE"""),45031.0)</f>
        <v>45031</v>
      </c>
      <c r="T64" s="35"/>
      <c r="U64" s="35"/>
      <c r="V64" s="35"/>
    </row>
    <row r="65" ht="15.75" customHeight="1">
      <c r="A65" s="35" t="str">
        <f>IFERROR(__xludf.DUMMYFUNCTION("""COMPUTED_VALUE"""),"JP")</f>
        <v>JP</v>
      </c>
      <c r="B65" s="35" t="str">
        <f>IFERROR(__xludf.DUMMYFUNCTION("""COMPUTED_VALUE"""),"マルス")</f>
        <v>マルス</v>
      </c>
      <c r="C65" s="35" t="str">
        <f>IFERROR(__xludf.DUMMYFUNCTION("""COMPUTED_VALUE"""),"マルス")</f>
        <v>マルス</v>
      </c>
      <c r="D65" s="35"/>
      <c r="E65" s="35" t="str">
        <f>IFERROR(__xludf.DUMMYFUNCTION("""COMPUTED_VALUE"""),"ブレンデッドモルト")</f>
        <v>ブレンデッドモルト</v>
      </c>
      <c r="F65" s="35"/>
      <c r="G65" s="35" t="str">
        <f>IFERROR(__xludf.DUMMYFUNCTION("""COMPUTED_VALUE"""),"越百")</f>
        <v>越百</v>
      </c>
      <c r="H65" s="35"/>
      <c r="I65" s="35"/>
      <c r="J65" s="35"/>
      <c r="K65" s="35"/>
      <c r="L65" s="35" t="str">
        <f>IFERROR(__xludf.DUMMYFUNCTION("""COMPUTED_VALUE"""),"✓")</f>
        <v>✓</v>
      </c>
      <c r="M65" s="35"/>
      <c r="N65" s="36"/>
      <c r="O65" s="35"/>
      <c r="P65" s="37">
        <f>IFERROR(__xludf.DUMMYFUNCTION("""COMPUTED_VALUE"""),1100.0)</f>
        <v>1100</v>
      </c>
      <c r="Q65" s="37">
        <f>IFERROR(__xludf.DUMMYFUNCTION("""COMPUTED_VALUE"""),650.0)</f>
        <v>650</v>
      </c>
      <c r="R65" s="37"/>
      <c r="S65" s="38"/>
      <c r="T65" s="35"/>
      <c r="U65" s="35"/>
      <c r="V65" s="35"/>
    </row>
    <row r="66" ht="15.75" customHeight="1">
      <c r="A66" s="35" t="str">
        <f>IFERROR(__xludf.DUMMYFUNCTION("""COMPUTED_VALUE"""),"JP")</f>
        <v>JP</v>
      </c>
      <c r="B66" s="35" t="str">
        <f>IFERROR(__xludf.DUMMYFUNCTION("""COMPUTED_VALUE"""),"マルス")</f>
        <v>マルス</v>
      </c>
      <c r="C66" s="35" t="str">
        <f>IFERROR(__xludf.DUMMYFUNCTION("""COMPUTED_VALUE"""),"マルス")</f>
        <v>マルス</v>
      </c>
      <c r="D66" s="35"/>
      <c r="E66" s="35" t="str">
        <f>IFERROR(__xludf.DUMMYFUNCTION("""COMPUTED_VALUE"""),"ブレンデッドモルト")</f>
        <v>ブレンデッドモルト</v>
      </c>
      <c r="F66" s="35"/>
      <c r="G66" s="35" t="str">
        <f>IFERROR(__xludf.DUMMYFUNCTION("""COMPUTED_VALUE"""),"越百 マンサニージャカスクフィニッシュ")</f>
        <v>越百 マンサニージャカスクフィニッシュ</v>
      </c>
      <c r="H66" s="35"/>
      <c r="I66" s="35"/>
      <c r="J66" s="35"/>
      <c r="K66" s="35"/>
      <c r="L66" s="35"/>
      <c r="M66" s="35"/>
      <c r="N66" s="36"/>
      <c r="O66" s="35"/>
      <c r="P66" s="37">
        <f>IFERROR(__xludf.DUMMYFUNCTION("""COMPUTED_VALUE"""),1500.0)</f>
        <v>1500</v>
      </c>
      <c r="Q66" s="37">
        <f>IFERROR(__xludf.DUMMYFUNCTION("""COMPUTED_VALUE"""),850.0)</f>
        <v>850</v>
      </c>
      <c r="R66" s="37"/>
      <c r="S66" s="38"/>
      <c r="T66" s="35"/>
      <c r="U66" s="35"/>
      <c r="V66" s="35"/>
    </row>
    <row r="67" ht="15.75" customHeight="1">
      <c r="A67" s="35" t="str">
        <f>IFERROR(__xludf.DUMMYFUNCTION("""COMPUTED_VALUE"""),"JP")</f>
        <v>JP</v>
      </c>
      <c r="B67" s="35" t="str">
        <f>IFERROR(__xludf.DUMMYFUNCTION("""COMPUTED_VALUE"""),"マルス")</f>
        <v>マルス</v>
      </c>
      <c r="C67" s="35" t="str">
        <f>IFERROR(__xludf.DUMMYFUNCTION("""COMPUTED_VALUE"""),"マルス")</f>
        <v>マルス</v>
      </c>
      <c r="D67" s="35"/>
      <c r="E67" s="35" t="str">
        <f>IFERROR(__xludf.DUMMYFUNCTION("""COMPUTED_VALUE"""),"ブレンデッドモルト")</f>
        <v>ブレンデッドモルト</v>
      </c>
      <c r="F67" s="35"/>
      <c r="G67" s="35" t="str">
        <f>IFERROR(__xludf.DUMMYFUNCTION("""COMPUTED_VALUE"""),"飯田")</f>
        <v>飯田</v>
      </c>
      <c r="H67" s="35" t="str">
        <f>IFERROR(__xludf.DUMMYFUNCTION("""COMPUTED_VALUE"""),"for 飯田お練り祭り")</f>
        <v>for 飯田お練り祭り</v>
      </c>
      <c r="I67" s="35"/>
      <c r="J67" s="35"/>
      <c r="K67" s="35"/>
      <c r="L67" s="35"/>
      <c r="M67" s="35"/>
      <c r="N67" s="36"/>
      <c r="O67" s="35"/>
      <c r="P67" s="37">
        <f>IFERROR(__xludf.DUMMYFUNCTION("""COMPUTED_VALUE"""),2000.0)</f>
        <v>2000</v>
      </c>
      <c r="Q67" s="37">
        <f>IFERROR(__xludf.DUMMYFUNCTION("""COMPUTED_VALUE"""),1100.0)</f>
        <v>1100</v>
      </c>
      <c r="R67" s="37"/>
      <c r="S67" s="38">
        <f>IFERROR(__xludf.DUMMYFUNCTION("""COMPUTED_VALUE"""),45737.0)</f>
        <v>45737</v>
      </c>
      <c r="T67" s="35"/>
      <c r="U67" s="35"/>
      <c r="V67" s="35"/>
    </row>
    <row r="68" ht="15.75" customHeight="1">
      <c r="A68" s="35" t="str">
        <f>IFERROR(__xludf.DUMMYFUNCTION("""COMPUTED_VALUE"""),"JP")</f>
        <v>JP</v>
      </c>
      <c r="B68" s="35" t="str">
        <f>IFERROR(__xludf.DUMMYFUNCTION("""COMPUTED_VALUE"""),"マルス")</f>
        <v>マルス</v>
      </c>
      <c r="C68" s="35" t="str">
        <f>IFERROR(__xludf.DUMMYFUNCTION("""COMPUTED_VALUE"""),"マルス")</f>
        <v>マルス</v>
      </c>
      <c r="D68" s="35"/>
      <c r="E68" s="35" t="str">
        <f>IFERROR(__xludf.DUMMYFUNCTION("""COMPUTED_VALUE"""),"ブレンデッドモルト")</f>
        <v>ブレンデッドモルト</v>
      </c>
      <c r="F68" s="35"/>
      <c r="G68" s="35" t="str">
        <f>IFERROR(__xludf.DUMMYFUNCTION("""COMPUTED_VALUE"""),"The Y.A. #01")</f>
        <v>The Y.A. #01</v>
      </c>
      <c r="H68" s="35"/>
      <c r="I68" s="35"/>
      <c r="J68" s="35"/>
      <c r="K68" s="35"/>
      <c r="L68" s="35"/>
      <c r="M68" s="35"/>
      <c r="N68" s="36"/>
      <c r="O68" s="35"/>
      <c r="P68" s="37">
        <f>IFERROR(__xludf.DUMMYFUNCTION("""COMPUTED_VALUE"""),1600.0)</f>
        <v>1600</v>
      </c>
      <c r="Q68" s="37">
        <f>IFERROR(__xludf.DUMMYFUNCTION("""COMPUTED_VALUE"""),900.0)</f>
        <v>900</v>
      </c>
      <c r="R68" s="37"/>
      <c r="S68" s="38">
        <f>IFERROR(__xludf.DUMMYFUNCTION("""COMPUTED_VALUE"""),45009.0)</f>
        <v>45009</v>
      </c>
      <c r="T68" s="35"/>
      <c r="U68" s="35"/>
      <c r="V68" s="35"/>
    </row>
    <row r="69" ht="15.75" customHeight="1">
      <c r="A69" s="35" t="str">
        <f>IFERROR(__xludf.DUMMYFUNCTION("""COMPUTED_VALUE"""),"JP")</f>
        <v>JP</v>
      </c>
      <c r="B69" s="35" t="str">
        <f>IFERROR(__xludf.DUMMYFUNCTION("""COMPUTED_VALUE"""),"マルス")</f>
        <v>マルス</v>
      </c>
      <c r="C69" s="35" t="str">
        <f>IFERROR(__xludf.DUMMYFUNCTION("""COMPUTED_VALUE"""),"マルス")</f>
        <v>マルス</v>
      </c>
      <c r="D69" s="35"/>
      <c r="E69" s="35" t="str">
        <f>IFERROR(__xludf.DUMMYFUNCTION("""COMPUTED_VALUE"""),"ブレンデッドモルト")</f>
        <v>ブレンデッドモルト</v>
      </c>
      <c r="F69" s="35"/>
      <c r="G69" s="35" t="str">
        <f>IFERROR(__xludf.DUMMYFUNCTION("""COMPUTED_VALUE"""),"モルトデュオ 駒ヶ岳 × 秩父 2021")</f>
        <v>モルトデュオ 駒ヶ岳 × 秩父 2021</v>
      </c>
      <c r="H69" s="35"/>
      <c r="I69" s="35"/>
      <c r="J69" s="35"/>
      <c r="K69" s="35"/>
      <c r="L69" s="35"/>
      <c r="M69" s="35"/>
      <c r="N69" s="36"/>
      <c r="O69" s="35"/>
      <c r="P69" s="37">
        <f>IFERROR(__xludf.DUMMYFUNCTION("""COMPUTED_VALUE"""),3500.0)</f>
        <v>3500</v>
      </c>
      <c r="Q69" s="37">
        <f>IFERROR(__xludf.DUMMYFUNCTION("""COMPUTED_VALUE"""),1900.0)</f>
        <v>1900</v>
      </c>
      <c r="R69" s="37"/>
      <c r="S69" s="38">
        <f>IFERROR(__xludf.DUMMYFUNCTION("""COMPUTED_VALUE"""),45065.0)</f>
        <v>45065</v>
      </c>
      <c r="T69" s="35"/>
      <c r="U69" s="35"/>
      <c r="V69" s="35"/>
    </row>
    <row r="70" ht="15.75" customHeight="1">
      <c r="A70" s="35" t="str">
        <f>IFERROR(__xludf.DUMMYFUNCTION("""COMPUTED_VALUE"""),"JP")</f>
        <v>JP</v>
      </c>
      <c r="B70" s="35" t="str">
        <f>IFERROR(__xludf.DUMMYFUNCTION("""COMPUTED_VALUE"""),"マルス")</f>
        <v>マルス</v>
      </c>
      <c r="C70" s="35" t="str">
        <f>IFERROR(__xludf.DUMMYFUNCTION("""COMPUTED_VALUE"""),"マルス")</f>
        <v>マルス</v>
      </c>
      <c r="D70" s="35"/>
      <c r="E70" s="35" t="str">
        <f>IFERROR(__xludf.DUMMYFUNCTION("""COMPUTED_VALUE"""),"ブレンデッドモルト")</f>
        <v>ブレンデッドモルト</v>
      </c>
      <c r="F70" s="35"/>
      <c r="G70" s="35" t="str">
        <f>IFERROR(__xludf.DUMMYFUNCTION("""COMPUTED_VALUE"""),"マルスモルテージ ディスティラリーズオリジナル")</f>
        <v>マルスモルテージ ディスティラリーズオリジナル</v>
      </c>
      <c r="H70" s="35" t="str">
        <f>IFERROR(__xludf.DUMMYFUNCTION("""COMPUTED_VALUE"""),"蒸溜所限定")</f>
        <v>蒸溜所限定</v>
      </c>
      <c r="I70" s="35"/>
      <c r="J70" s="35"/>
      <c r="K70" s="35"/>
      <c r="L70" s="35" t="str">
        <f>IFERROR(__xludf.DUMMYFUNCTION("""COMPUTED_VALUE"""),"✓")</f>
        <v>✓</v>
      </c>
      <c r="M70" s="35"/>
      <c r="N70" s="36"/>
      <c r="O70" s="35"/>
      <c r="P70" s="37">
        <f>IFERROR(__xludf.DUMMYFUNCTION("""COMPUTED_VALUE"""),1200.0)</f>
        <v>1200</v>
      </c>
      <c r="Q70" s="37">
        <f>IFERROR(__xludf.DUMMYFUNCTION("""COMPUTED_VALUE"""),700.0)</f>
        <v>700</v>
      </c>
      <c r="R70" s="37"/>
      <c r="S70" s="38"/>
      <c r="T70" s="35"/>
      <c r="U70" s="35"/>
      <c r="V70" s="35"/>
    </row>
    <row r="71" ht="15.75" customHeight="1">
      <c r="A71" s="35" t="str">
        <f>IFERROR(__xludf.DUMMYFUNCTION("""COMPUTED_VALUE"""),"JP")</f>
        <v>JP</v>
      </c>
      <c r="B71" s="35" t="str">
        <f>IFERROR(__xludf.DUMMYFUNCTION("""COMPUTED_VALUE"""),"マルス")</f>
        <v>マルス</v>
      </c>
      <c r="C71" s="35" t="str">
        <f>IFERROR(__xludf.DUMMYFUNCTION("""COMPUTED_VALUE"""),"マルス")</f>
        <v>マルス</v>
      </c>
      <c r="D71" s="35"/>
      <c r="E71" s="35" t="str">
        <f>IFERROR(__xludf.DUMMYFUNCTION("""COMPUTED_VALUE"""),"ブレンデッド")</f>
        <v>ブレンデッド</v>
      </c>
      <c r="F71" s="35"/>
      <c r="G71" s="35" t="str">
        <f>IFERROR(__xludf.DUMMYFUNCTION("""COMPUTED_VALUE"""),"ツインアルプス")</f>
        <v>ツインアルプス</v>
      </c>
      <c r="H71" s="35"/>
      <c r="I71" s="35"/>
      <c r="J71" s="35"/>
      <c r="K71" s="35"/>
      <c r="L71" s="35" t="str">
        <f>IFERROR(__xludf.DUMMYFUNCTION("""COMPUTED_VALUE"""),"✓")</f>
        <v>✓</v>
      </c>
      <c r="M71" s="35"/>
      <c r="N71" s="36"/>
      <c r="O71" s="35"/>
      <c r="P71" s="37">
        <f>IFERROR(__xludf.DUMMYFUNCTION("""COMPUTED_VALUE"""),900.0)</f>
        <v>900</v>
      </c>
      <c r="Q71" s="37">
        <f>IFERROR(__xludf.DUMMYFUNCTION("""COMPUTED_VALUE"""),550.0)</f>
        <v>550</v>
      </c>
      <c r="R71" s="37"/>
      <c r="S71" s="38">
        <f>IFERROR(__xludf.DUMMYFUNCTION("""COMPUTED_VALUE"""),45470.0)</f>
        <v>45470</v>
      </c>
      <c r="T71" s="35"/>
      <c r="U71" s="35"/>
      <c r="V71" s="35"/>
    </row>
    <row r="72" ht="15.75" customHeight="1">
      <c r="A72" s="35" t="str">
        <f>IFERROR(__xludf.DUMMYFUNCTION("""COMPUTED_VALUE"""),"JP")</f>
        <v>JP</v>
      </c>
      <c r="B72" s="35" t="str">
        <f>IFERROR(__xludf.DUMMYFUNCTION("""COMPUTED_VALUE"""),"マルス")</f>
        <v>マルス</v>
      </c>
      <c r="C72" s="35" t="str">
        <f>IFERROR(__xludf.DUMMYFUNCTION("""COMPUTED_VALUE"""),"マルス")</f>
        <v>マルス</v>
      </c>
      <c r="D72" s="35"/>
      <c r="E72" s="35" t="str">
        <f>IFERROR(__xludf.DUMMYFUNCTION("""COMPUTED_VALUE"""),"ブレンデッド")</f>
        <v>ブレンデッド</v>
      </c>
      <c r="F72" s="35"/>
      <c r="G72" s="35" t="str">
        <f>IFERROR(__xludf.DUMMYFUNCTION("""COMPUTED_VALUE"""),"岩井")</f>
        <v>岩井</v>
      </c>
      <c r="H72" s="35"/>
      <c r="I72" s="35"/>
      <c r="J72" s="35"/>
      <c r="K72" s="35"/>
      <c r="L72" s="35" t="str">
        <f>IFERROR(__xludf.DUMMYFUNCTION("""COMPUTED_VALUE"""),"✓")</f>
        <v>✓</v>
      </c>
      <c r="M72" s="35"/>
      <c r="N72" s="36"/>
      <c r="O72" s="35"/>
      <c r="P72" s="37">
        <f>IFERROR(__xludf.DUMMYFUNCTION("""COMPUTED_VALUE"""),1000.0)</f>
        <v>1000</v>
      </c>
      <c r="Q72" s="37">
        <f>IFERROR(__xludf.DUMMYFUNCTION("""COMPUTED_VALUE"""),600.0)</f>
        <v>600</v>
      </c>
      <c r="R72" s="37"/>
      <c r="S72" s="38">
        <f>IFERROR(__xludf.DUMMYFUNCTION("""COMPUTED_VALUE"""),45452.0)</f>
        <v>45452</v>
      </c>
      <c r="T72" s="35"/>
      <c r="U72" s="35"/>
      <c r="V72" s="35"/>
    </row>
    <row r="73" ht="15.75" customHeight="1">
      <c r="A73" s="35" t="str">
        <f>IFERROR(__xludf.DUMMYFUNCTION("""COMPUTED_VALUE"""),"JP")</f>
        <v>JP</v>
      </c>
      <c r="B73" s="35" t="str">
        <f>IFERROR(__xludf.DUMMYFUNCTION("""COMPUTED_VALUE"""),"マルス")</f>
        <v>マルス</v>
      </c>
      <c r="C73" s="35" t="str">
        <f>IFERROR(__xludf.DUMMYFUNCTION("""COMPUTED_VALUE"""),"マルス")</f>
        <v>マルス</v>
      </c>
      <c r="D73" s="35"/>
      <c r="E73" s="35" t="str">
        <f>IFERROR(__xludf.DUMMYFUNCTION("""COMPUTED_VALUE"""),"ブレンデッド")</f>
        <v>ブレンデッド</v>
      </c>
      <c r="F73" s="35"/>
      <c r="G73" s="35" t="str">
        <f>IFERROR(__xludf.DUMMYFUNCTION("""COMPUTED_VALUE"""),"岩井 ワインカスクフィニッシュ")</f>
        <v>岩井 ワインカスクフィニッシュ</v>
      </c>
      <c r="H73" s="35"/>
      <c r="I73" s="35"/>
      <c r="J73" s="35"/>
      <c r="K73" s="35"/>
      <c r="L73" s="35"/>
      <c r="M73" s="35"/>
      <c r="N73" s="36"/>
      <c r="O73" s="35"/>
      <c r="P73" s="37">
        <f>IFERROR(__xludf.DUMMYFUNCTION("""COMPUTED_VALUE"""),1200.0)</f>
        <v>1200</v>
      </c>
      <c r="Q73" s="37">
        <f>IFERROR(__xludf.DUMMYFUNCTION("""COMPUTED_VALUE"""),700.0)</f>
        <v>700</v>
      </c>
      <c r="R73" s="37"/>
      <c r="S73" s="38">
        <f>IFERROR(__xludf.DUMMYFUNCTION("""COMPUTED_VALUE"""),45469.0)</f>
        <v>45469</v>
      </c>
      <c r="T73" s="35"/>
      <c r="U73" s="35"/>
      <c r="V73" s="35"/>
    </row>
    <row r="74" ht="15.75" customHeight="1">
      <c r="A74" s="35" t="str">
        <f>IFERROR(__xludf.DUMMYFUNCTION("""COMPUTED_VALUE"""),"JP")</f>
        <v>JP</v>
      </c>
      <c r="B74" s="35" t="str">
        <f>IFERROR(__xludf.DUMMYFUNCTION("""COMPUTED_VALUE"""),"マルス")</f>
        <v>マルス</v>
      </c>
      <c r="C74" s="35" t="str">
        <f>IFERROR(__xludf.DUMMYFUNCTION("""COMPUTED_VALUE"""),"マルス")</f>
        <v>マルス</v>
      </c>
      <c r="D74" s="35"/>
      <c r="E74" s="35" t="str">
        <f>IFERROR(__xludf.DUMMYFUNCTION("""COMPUTED_VALUE"""),"ブレンデッド")</f>
        <v>ブレンデッド</v>
      </c>
      <c r="F74" s="35"/>
      <c r="G74" s="35" t="str">
        <f>IFERROR(__xludf.DUMMYFUNCTION("""COMPUTED_VALUE"""),"HHAE")</f>
        <v>HHAE</v>
      </c>
      <c r="H74" s="35" t="str">
        <f>IFERROR(__xludf.DUMMYFUNCTION("""COMPUTED_VALUE"""),"蒸溜所限定")</f>
        <v>蒸溜所限定</v>
      </c>
      <c r="I74" s="35"/>
      <c r="J74" s="35"/>
      <c r="K74" s="35"/>
      <c r="L74" s="35" t="str">
        <f>IFERROR(__xludf.DUMMYFUNCTION("""COMPUTED_VALUE"""),"✓")</f>
        <v>✓</v>
      </c>
      <c r="M74" s="35"/>
      <c r="N74" s="36"/>
      <c r="O74" s="35"/>
      <c r="P74" s="37">
        <f>IFERROR(__xludf.DUMMYFUNCTION("""COMPUTED_VALUE"""),1300.0)</f>
        <v>1300</v>
      </c>
      <c r="Q74" s="37">
        <f>IFERROR(__xludf.DUMMYFUNCTION("""COMPUTED_VALUE"""),750.0)</f>
        <v>750</v>
      </c>
      <c r="R74" s="37"/>
      <c r="S74" s="38"/>
      <c r="T74" s="35"/>
      <c r="U74" s="35"/>
      <c r="V74" s="35"/>
    </row>
    <row r="75" ht="15.75" customHeight="1">
      <c r="A75" s="35" t="str">
        <f>IFERROR(__xludf.DUMMYFUNCTION("""COMPUTED_VALUE"""),"JP")</f>
        <v>JP</v>
      </c>
      <c r="B75" s="35" t="str">
        <f>IFERROR(__xludf.DUMMYFUNCTION("""COMPUTED_VALUE"""),"マルス")</f>
        <v>マルス</v>
      </c>
      <c r="C75" s="35" t="str">
        <f>IFERROR(__xludf.DUMMYFUNCTION("""COMPUTED_VALUE"""),"マルス")</f>
        <v>マルス</v>
      </c>
      <c r="D75" s="35"/>
      <c r="E75" s="35" t="str">
        <f>IFERROR(__xludf.DUMMYFUNCTION("""COMPUTED_VALUE"""),"ブレンデッド")</f>
        <v>ブレンデッド</v>
      </c>
      <c r="F75" s="35"/>
      <c r="G75" s="35" t="str">
        <f>IFERROR(__xludf.DUMMYFUNCTION("""COMPUTED_VALUE"""),"KBP")</f>
        <v>KBP</v>
      </c>
      <c r="H75" s="35" t="str">
        <f>IFERROR(__xludf.DUMMYFUNCTION("""COMPUTED_VALUE"""),"for 熊本地震復興支援")</f>
        <v>for 熊本地震復興支援</v>
      </c>
      <c r="I75" s="35"/>
      <c r="J75" s="35"/>
      <c r="K75" s="35"/>
      <c r="L75" s="35"/>
      <c r="M75" s="35"/>
      <c r="N75" s="36"/>
      <c r="O75" s="35"/>
      <c r="P75" s="37">
        <f>IFERROR(__xludf.DUMMYFUNCTION("""COMPUTED_VALUE"""),1300.0)</f>
        <v>1300</v>
      </c>
      <c r="Q75" s="37">
        <f>IFERROR(__xludf.DUMMYFUNCTION("""COMPUTED_VALUE"""),750.0)</f>
        <v>750</v>
      </c>
      <c r="R75" s="37"/>
      <c r="S75" s="38">
        <f>IFERROR(__xludf.DUMMYFUNCTION("""COMPUTED_VALUE"""),45281.0)</f>
        <v>45281</v>
      </c>
      <c r="T75" s="35"/>
      <c r="U75" s="35"/>
      <c r="V75" s="35"/>
    </row>
    <row r="76" ht="15.75" customHeight="1">
      <c r="A76" s="35" t="str">
        <f>IFERROR(__xludf.DUMMYFUNCTION("""COMPUTED_VALUE"""),"JP")</f>
        <v>JP</v>
      </c>
      <c r="B76" s="35" t="str">
        <f>IFERROR(__xludf.DUMMYFUNCTION("""COMPUTED_VALUE"""),"マルス")</f>
        <v>マルス</v>
      </c>
      <c r="C76" s="35" t="str">
        <f>IFERROR(__xludf.DUMMYFUNCTION("""COMPUTED_VALUE"""),"ウィズワン")</f>
        <v>ウィズワン</v>
      </c>
      <c r="D76" s="35"/>
      <c r="E76" s="35" t="str">
        <f>IFERROR(__xludf.DUMMYFUNCTION("""COMPUTED_VALUE"""),"ブレンデッド")</f>
        <v>ブレンデッド</v>
      </c>
      <c r="F76" s="35"/>
      <c r="G76" s="35" t="str">
        <f>IFERROR(__xludf.DUMMYFUNCTION("""COMPUTED_VALUE"""),"moshi-moshi")</f>
        <v>moshi-moshi</v>
      </c>
      <c r="H76" s="35"/>
      <c r="I76" s="35"/>
      <c r="J76" s="35"/>
      <c r="K76" s="35"/>
      <c r="L76" s="35"/>
      <c r="M76" s="35"/>
      <c r="N76" s="36"/>
      <c r="O76" s="35"/>
      <c r="P76" s="37">
        <f>IFERROR(__xludf.DUMMYFUNCTION("""COMPUTED_VALUE"""),1000.0)</f>
        <v>1000</v>
      </c>
      <c r="Q76" s="37">
        <f>IFERROR(__xludf.DUMMYFUNCTION("""COMPUTED_VALUE"""),600.0)</f>
        <v>600</v>
      </c>
      <c r="R76" s="37"/>
      <c r="S76" s="38"/>
      <c r="T76" s="35"/>
      <c r="U76" s="35"/>
      <c r="V76" s="35"/>
    </row>
    <row r="77" ht="15.75" customHeight="1">
      <c r="A77" s="35" t="str">
        <f>IFERROR(__xludf.DUMMYFUNCTION("""COMPUTED_VALUE"""),"JP")</f>
        <v>JP</v>
      </c>
      <c r="B77" s="35" t="str">
        <f>IFERROR(__xludf.DUMMYFUNCTION("""COMPUTED_VALUE"""),"マルス")</f>
        <v>マルス</v>
      </c>
      <c r="C77" s="35" t="str">
        <f>IFERROR(__xludf.DUMMYFUNCTION("""COMPUTED_VALUE"""),"マルス")</f>
        <v>マルス</v>
      </c>
      <c r="D77" s="35"/>
      <c r="E77" s="35" t="str">
        <f>IFERROR(__xludf.DUMMYFUNCTION("""COMPUTED_VALUE"""),"ブレンデッド")</f>
        <v>ブレンデッド</v>
      </c>
      <c r="F77" s="35"/>
      <c r="G77" s="35" t="str">
        <f>IFERROR(__xludf.DUMMYFUNCTION("""COMPUTED_VALUE"""),"SHIKI")</f>
        <v>SHIKI</v>
      </c>
      <c r="H77" s="35" t="str">
        <f>IFERROR(__xludf.DUMMYFUNCTION("""COMPUTED_VALUE"""),"長野県限定")</f>
        <v>長野県限定</v>
      </c>
      <c r="I77" s="35"/>
      <c r="J77" s="35"/>
      <c r="K77" s="35"/>
      <c r="L77" s="35"/>
      <c r="M77" s="35"/>
      <c r="N77" s="36"/>
      <c r="O77" s="35"/>
      <c r="P77" s="37">
        <f>IFERROR(__xludf.DUMMYFUNCTION("""COMPUTED_VALUE"""),1300.0)</f>
        <v>1300</v>
      </c>
      <c r="Q77" s="37">
        <f>IFERROR(__xludf.DUMMYFUNCTION("""COMPUTED_VALUE"""),750.0)</f>
        <v>750</v>
      </c>
      <c r="R77" s="37"/>
      <c r="S77" s="38">
        <f>IFERROR(__xludf.DUMMYFUNCTION("""COMPUTED_VALUE"""),45728.0)</f>
        <v>45728</v>
      </c>
      <c r="T77" s="35"/>
      <c r="U77" s="35"/>
      <c r="V77" s="35"/>
    </row>
    <row r="78" ht="15.75" customHeight="1">
      <c r="A78" s="35" t="str">
        <f>IFERROR(__xludf.DUMMYFUNCTION("""COMPUTED_VALUE"""),"JP")</f>
        <v>JP</v>
      </c>
      <c r="B78" s="35" t="str">
        <f>IFERROR(__xludf.DUMMYFUNCTION("""COMPUTED_VALUE"""),"マルス")</f>
        <v>マルス</v>
      </c>
      <c r="C78" s="35" t="str">
        <f>IFERROR(__xludf.DUMMYFUNCTION("""COMPUTED_VALUE"""),"マルス")</f>
        <v>マルス</v>
      </c>
      <c r="D78" s="35"/>
      <c r="E78" s="35" t="str">
        <f>IFERROR(__xludf.DUMMYFUNCTION("""COMPUTED_VALUE"""),"ブレンデッド")</f>
        <v>ブレンデッド</v>
      </c>
      <c r="F78" s="35"/>
      <c r="G78" s="35" t="str">
        <f>IFERROR(__xludf.DUMMYFUNCTION("""COMPUTED_VALUE"""),"アンバー")</f>
        <v>アンバー</v>
      </c>
      <c r="H78" s="35"/>
      <c r="I78" s="35"/>
      <c r="J78" s="35"/>
      <c r="K78" s="35"/>
      <c r="L78" s="35"/>
      <c r="M78" s="35"/>
      <c r="N78" s="36"/>
      <c r="O78" s="35"/>
      <c r="P78" s="37">
        <f>IFERROR(__xludf.DUMMYFUNCTION("""COMPUTED_VALUE"""),1200.0)</f>
        <v>1200</v>
      </c>
      <c r="Q78" s="37">
        <f>IFERROR(__xludf.DUMMYFUNCTION("""COMPUTED_VALUE"""),700.0)</f>
        <v>700</v>
      </c>
      <c r="R78" s="37"/>
      <c r="S78" s="38"/>
      <c r="T78" s="35"/>
      <c r="U78" s="35"/>
      <c r="V78" s="35"/>
    </row>
    <row r="79" ht="15.75" customHeight="1">
      <c r="A79" s="35" t="str">
        <f>IFERROR(__xludf.DUMMYFUNCTION("""COMPUTED_VALUE"""),"JP")</f>
        <v>JP</v>
      </c>
      <c r="B79" s="35" t="str">
        <f>IFERROR(__xludf.DUMMYFUNCTION("""COMPUTED_VALUE"""),"マルス")</f>
        <v>マルス</v>
      </c>
      <c r="C79" s="35" t="str">
        <f>IFERROR(__xludf.DUMMYFUNCTION("""COMPUTED_VALUE"""),"マルス")</f>
        <v>マルス</v>
      </c>
      <c r="D79" s="35"/>
      <c r="E79" s="35" t="str">
        <f>IFERROR(__xludf.DUMMYFUNCTION("""COMPUTED_VALUE"""),"ブレンデッド")</f>
        <v>ブレンデッド</v>
      </c>
      <c r="F79" s="35"/>
      <c r="G79" s="35" t="str">
        <f>IFERROR(__xludf.DUMMYFUNCTION("""COMPUTED_VALUE"""),"バーテンダーズチョイス ワインカスクフィニッシュ")</f>
        <v>バーテンダーズチョイス ワインカスクフィニッシュ</v>
      </c>
      <c r="H79" s="35"/>
      <c r="I79" s="35"/>
      <c r="J79" s="35"/>
      <c r="K79" s="35"/>
      <c r="L79" s="35"/>
      <c r="M79" s="35"/>
      <c r="N79" s="36"/>
      <c r="O79" s="35"/>
      <c r="P79" s="37">
        <f>IFERROR(__xludf.DUMMYFUNCTION("""COMPUTED_VALUE"""),1500.0)</f>
        <v>1500</v>
      </c>
      <c r="Q79" s="37">
        <f>IFERROR(__xludf.DUMMYFUNCTION("""COMPUTED_VALUE"""),850.0)</f>
        <v>850</v>
      </c>
      <c r="R79" s="37"/>
      <c r="S79" s="38">
        <f>IFERROR(__xludf.DUMMYFUNCTION("""COMPUTED_VALUE"""),45478.0)</f>
        <v>45478</v>
      </c>
      <c r="T79" s="35"/>
      <c r="U79" s="35"/>
      <c r="V79" s="35"/>
    </row>
    <row r="80" ht="15.75" customHeight="1">
      <c r="A80" s="35" t="str">
        <f>IFERROR(__xludf.DUMMYFUNCTION("""COMPUTED_VALUE"""),"JP")</f>
        <v>JP</v>
      </c>
      <c r="B80" s="35" t="str">
        <f>IFERROR(__xludf.DUMMYFUNCTION("""COMPUTED_VALUE"""),"マルス")</f>
        <v>マルス</v>
      </c>
      <c r="C80" s="35" t="str">
        <f>IFERROR(__xludf.DUMMYFUNCTION("""COMPUTED_VALUE"""),"マルス")</f>
        <v>マルス</v>
      </c>
      <c r="D80" s="35"/>
      <c r="E80" s="35" t="str">
        <f>IFERROR(__xludf.DUMMYFUNCTION("""COMPUTED_VALUE"""),"ブレンデッド")</f>
        <v>ブレンデッド</v>
      </c>
      <c r="F80" s="35"/>
      <c r="G80" s="35" t="str">
        <f>IFERROR(__xludf.DUMMYFUNCTION("""COMPUTED_VALUE"""),"ラッキーキャット サン")</f>
        <v>ラッキーキャット サン</v>
      </c>
      <c r="H80" s="35"/>
      <c r="I80" s="35"/>
      <c r="J80" s="35"/>
      <c r="K80" s="35"/>
      <c r="L80" s="35"/>
      <c r="M80" s="35"/>
      <c r="N80" s="36"/>
      <c r="O80" s="35"/>
      <c r="P80" s="37">
        <f>IFERROR(__xludf.DUMMYFUNCTION("""COMPUTED_VALUE"""),1500.0)</f>
        <v>1500</v>
      </c>
      <c r="Q80" s="37">
        <f>IFERROR(__xludf.DUMMYFUNCTION("""COMPUTED_VALUE"""),850.0)</f>
        <v>850</v>
      </c>
      <c r="R80" s="37"/>
      <c r="S80" s="38">
        <f>IFERROR(__xludf.DUMMYFUNCTION("""COMPUTED_VALUE"""),45477.0)</f>
        <v>45477</v>
      </c>
      <c r="T80" s="35"/>
      <c r="U80" s="35"/>
      <c r="V80" s="35"/>
    </row>
    <row r="81" ht="15.75" customHeight="1">
      <c r="A81" s="35" t="str">
        <f>IFERROR(__xludf.DUMMYFUNCTION("""COMPUTED_VALUE"""),"JP")</f>
        <v>JP</v>
      </c>
      <c r="B81" s="35" t="str">
        <f>IFERROR(__xludf.DUMMYFUNCTION("""COMPUTED_VALUE"""),"マルス")</f>
        <v>マルス</v>
      </c>
      <c r="C81" s="35" t="str">
        <f>IFERROR(__xludf.DUMMYFUNCTION("""COMPUTED_VALUE"""),"マルス")</f>
        <v>マルス</v>
      </c>
      <c r="D81" s="35"/>
      <c r="E81" s="35" t="str">
        <f>IFERROR(__xludf.DUMMYFUNCTION("""COMPUTED_VALUE"""),"ブレンデッド")</f>
        <v>ブレンデッド</v>
      </c>
      <c r="F81" s="35"/>
      <c r="G81" s="35" t="str">
        <f>IFERROR(__xludf.DUMMYFUNCTION("""COMPUTED_VALUE"""),"繋")</f>
        <v>繋</v>
      </c>
      <c r="H81" s="35" t="str">
        <f>IFERROR(__xludf.DUMMYFUNCTION("""COMPUTED_VALUE"""),"for 三越伊勢丹")</f>
        <v>for 三越伊勢丹</v>
      </c>
      <c r="I81" s="35"/>
      <c r="J81" s="35"/>
      <c r="K81" s="35"/>
      <c r="L81" s="35"/>
      <c r="M81" s="35"/>
      <c r="N81" s="36"/>
      <c r="O81" s="35"/>
      <c r="P81" s="37">
        <f>IFERROR(__xludf.DUMMYFUNCTION("""COMPUTED_VALUE"""),1800.0)</f>
        <v>1800</v>
      </c>
      <c r="Q81" s="37">
        <f>IFERROR(__xludf.DUMMYFUNCTION("""COMPUTED_VALUE"""),1000.0)</f>
        <v>1000</v>
      </c>
      <c r="R81" s="37"/>
      <c r="S81" s="38">
        <f>IFERROR(__xludf.DUMMYFUNCTION("""COMPUTED_VALUE"""),45738.0)</f>
        <v>45738</v>
      </c>
      <c r="T81" s="35"/>
      <c r="U81" s="35"/>
      <c r="V81" s="35"/>
    </row>
    <row r="82" ht="15.75" customHeight="1">
      <c r="A82" s="35" t="str">
        <f>IFERROR(__xludf.DUMMYFUNCTION("""COMPUTED_VALUE"""),"JP")</f>
        <v>JP</v>
      </c>
      <c r="B82" s="35" t="str">
        <f>IFERROR(__xludf.DUMMYFUNCTION("""COMPUTED_VALUE"""),"マルス")</f>
        <v>マルス</v>
      </c>
      <c r="C82" s="35" t="str">
        <f>IFERROR(__xludf.DUMMYFUNCTION("""COMPUTED_VALUE"""),"マルス")</f>
        <v>マルス</v>
      </c>
      <c r="D82" s="35"/>
      <c r="E82" s="35" t="str">
        <f>IFERROR(__xludf.DUMMYFUNCTION("""COMPUTED_VALUE"""),"ブレンデッド")</f>
        <v>ブレンデッド</v>
      </c>
      <c r="F82" s="35"/>
      <c r="G82" s="35" t="str">
        <f>IFERROR(__xludf.DUMMYFUNCTION("""COMPUTED_VALUE"""),"軽井沢倶楽部")</f>
        <v>軽井沢倶楽部</v>
      </c>
      <c r="H82" s="35" t="str">
        <f>IFERROR(__xludf.DUMMYFUNCTION("""COMPUTED_VALUE"""),"for タカギ酒店")</f>
        <v>for タカギ酒店</v>
      </c>
      <c r="I82" s="35"/>
      <c r="J82" s="35"/>
      <c r="K82" s="35"/>
      <c r="L82" s="35"/>
      <c r="M82" s="35"/>
      <c r="N82" s="36"/>
      <c r="O82" s="35"/>
      <c r="P82" s="37">
        <f>IFERROR(__xludf.DUMMYFUNCTION("""COMPUTED_VALUE"""),1100.0)</f>
        <v>1100</v>
      </c>
      <c r="Q82" s="37">
        <f>IFERROR(__xludf.DUMMYFUNCTION("""COMPUTED_VALUE"""),650.0)</f>
        <v>650</v>
      </c>
      <c r="R82" s="37"/>
      <c r="S82" s="38"/>
      <c r="T82" s="35"/>
      <c r="U82" s="35"/>
      <c r="V82" s="35"/>
    </row>
    <row r="83" ht="15.75" customHeight="1">
      <c r="A83" s="35" t="str">
        <f>IFERROR(__xludf.DUMMYFUNCTION("""COMPUTED_VALUE"""),"JP")</f>
        <v>JP</v>
      </c>
      <c r="B83" s="35" t="str">
        <f>IFERROR(__xludf.DUMMYFUNCTION("""COMPUTED_VALUE"""),"マルス")</f>
        <v>マルス</v>
      </c>
      <c r="C83" s="35" t="str">
        <f>IFERROR(__xludf.DUMMYFUNCTION("""COMPUTED_VALUE"""),"マルス")</f>
        <v>マルス</v>
      </c>
      <c r="D83" s="35"/>
      <c r="E83" s="35" t="str">
        <f>IFERROR(__xludf.DUMMYFUNCTION("""COMPUTED_VALUE"""),"ブレンデッド")</f>
        <v>ブレンデッド</v>
      </c>
      <c r="F83" s="35"/>
      <c r="G83" s="35" t="str">
        <f>IFERROR(__xludf.DUMMYFUNCTION("""COMPUTED_VALUE"""),"西郷どん")</f>
        <v>西郷どん</v>
      </c>
      <c r="H83" s="35" t="str">
        <f>IFERROR(__xludf.DUMMYFUNCTION("""COMPUTED_VALUE"""),"for 明治維新150周年記念")</f>
        <v>for 明治維新150周年記念</v>
      </c>
      <c r="I83" s="35"/>
      <c r="J83" s="35"/>
      <c r="K83" s="35"/>
      <c r="L83" s="35"/>
      <c r="M83" s="35"/>
      <c r="N83" s="36"/>
      <c r="O83" s="35"/>
      <c r="P83" s="37">
        <f>IFERROR(__xludf.DUMMYFUNCTION("""COMPUTED_VALUE"""),1300.0)</f>
        <v>1300</v>
      </c>
      <c r="Q83" s="37">
        <f>IFERROR(__xludf.DUMMYFUNCTION("""COMPUTED_VALUE"""),750.0)</f>
        <v>750</v>
      </c>
      <c r="R83" s="37"/>
      <c r="S83" s="38">
        <f>IFERROR(__xludf.DUMMYFUNCTION("""COMPUTED_VALUE"""),45471.0)</f>
        <v>45471</v>
      </c>
      <c r="T83" s="35"/>
      <c r="U83" s="35"/>
      <c r="V83" s="35"/>
    </row>
    <row r="84" ht="15.75" customHeight="1">
      <c r="A84" s="35" t="str">
        <f>IFERROR(__xludf.DUMMYFUNCTION("""COMPUTED_VALUE"""),"JP")</f>
        <v>JP</v>
      </c>
      <c r="B84" s="35" t="str">
        <f>IFERROR(__xludf.DUMMYFUNCTION("""COMPUTED_VALUE"""),"マルス")</f>
        <v>マルス</v>
      </c>
      <c r="C84" s="35" t="str">
        <f>IFERROR(__xludf.DUMMYFUNCTION("""COMPUTED_VALUE"""),"マルス")</f>
        <v>マルス</v>
      </c>
      <c r="D84" s="35"/>
      <c r="E84" s="35" t="str">
        <f>IFERROR(__xludf.DUMMYFUNCTION("""COMPUTED_VALUE"""),"ブレンデッド")</f>
        <v>ブレンデッド</v>
      </c>
      <c r="F84" s="35"/>
      <c r="G84" s="35" t="str">
        <f>IFERROR(__xludf.DUMMYFUNCTION("""COMPUTED_VALUE"""),"浅葱斑 8年")</f>
        <v>浅葱斑 8年</v>
      </c>
      <c r="H84" s="35" t="str">
        <f>IFERROR(__xludf.DUMMYFUNCTION("""COMPUTED_VALUE"""),"for 蒸溜所リニューアル竣工記念")</f>
        <v>for 蒸溜所リニューアル竣工記念</v>
      </c>
      <c r="I84" s="35"/>
      <c r="J84" s="35"/>
      <c r="K84" s="35"/>
      <c r="L84" s="35"/>
      <c r="M84" s="35"/>
      <c r="N84" s="36"/>
      <c r="O84" s="35"/>
      <c r="P84" s="37">
        <f>IFERROR(__xludf.DUMMYFUNCTION("""COMPUTED_VALUE"""),2000.0)</f>
        <v>2000</v>
      </c>
      <c r="Q84" s="37">
        <f>IFERROR(__xludf.DUMMYFUNCTION("""COMPUTED_VALUE"""),1100.0)</f>
        <v>1100</v>
      </c>
      <c r="R84" s="37"/>
      <c r="S84" s="38">
        <f>IFERROR(__xludf.DUMMYFUNCTION("""COMPUTED_VALUE"""),45003.0)</f>
        <v>45003</v>
      </c>
      <c r="T84" s="35"/>
      <c r="U84" s="35"/>
      <c r="V84" s="35"/>
    </row>
    <row r="85" ht="15.75" customHeight="1">
      <c r="A85" s="35" t="str">
        <f>IFERROR(__xludf.DUMMYFUNCTION("""COMPUTED_VALUE"""),"JP")</f>
        <v>JP</v>
      </c>
      <c r="B85" s="35" t="str">
        <f>IFERROR(__xludf.DUMMYFUNCTION("""COMPUTED_VALUE"""),"マルス")</f>
        <v>マルス</v>
      </c>
      <c r="C85" s="35" t="str">
        <f>IFERROR(__xludf.DUMMYFUNCTION("""COMPUTED_VALUE"""),"マルス")</f>
        <v>マルス</v>
      </c>
      <c r="D85" s="35"/>
      <c r="E85" s="35" t="str">
        <f>IFERROR(__xludf.DUMMYFUNCTION("""COMPUTED_VALUE"""),"ブレンデッド")</f>
        <v>ブレンデッド</v>
      </c>
      <c r="F85" s="35"/>
      <c r="G85" s="35" t="str">
        <f>IFERROR(__xludf.DUMMYFUNCTION("""COMPUTED_VALUE"""),"アウトドアラバーズ")</f>
        <v>アウトドアラバーズ</v>
      </c>
      <c r="H85" s="35"/>
      <c r="I85" s="35"/>
      <c r="J85" s="35"/>
      <c r="K85" s="35"/>
      <c r="L85" s="35" t="str">
        <f>IFERROR(__xludf.DUMMYFUNCTION("""COMPUTED_VALUE"""),"✓")</f>
        <v>✓</v>
      </c>
      <c r="M85" s="35"/>
      <c r="N85" s="36">
        <f>IFERROR(__xludf.DUMMYFUNCTION("""COMPUTED_VALUE"""),0.46)</f>
        <v>0.46</v>
      </c>
      <c r="O85" s="35"/>
      <c r="P85" s="37">
        <f>IFERROR(__xludf.DUMMYFUNCTION("""COMPUTED_VALUE"""),1100.0)</f>
        <v>1100</v>
      </c>
      <c r="Q85" s="37">
        <f>IFERROR(__xludf.DUMMYFUNCTION("""COMPUTED_VALUE"""),650.0)</f>
        <v>650</v>
      </c>
      <c r="R85" s="37"/>
      <c r="S85" s="38">
        <f>IFERROR(__xludf.DUMMYFUNCTION("""COMPUTED_VALUE"""),45908.0)</f>
        <v>45908</v>
      </c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0.14"/>
    <col customWidth="1" min="3" max="3" width="16.43"/>
    <col customWidth="1" hidden="1" min="4" max="4" width="21.14"/>
    <col customWidth="1" min="5" max="5" width="21.14"/>
    <col customWidth="1" hidden="1" min="6" max="6" width="5.71"/>
    <col customWidth="1" min="7" max="7" width="73.71"/>
    <col customWidth="1" min="8" max="8" width="32.71"/>
    <col customWidth="1" hidden="1" min="9" max="9" width="6.29"/>
    <col customWidth="1" hidden="1" min="10" max="10" width="12.0"/>
    <col customWidth="1" hidden="1" min="11" max="11" width="5.71"/>
    <col customWidth="1" hidden="1" min="12" max="12" width="32.71"/>
    <col customWidth="1" hidden="1" min="13" max="13" width="34.0"/>
    <col customWidth="1" min="14" max="14" width="5.71"/>
    <col customWidth="1" hidden="1" min="15" max="15" width="34.0"/>
    <col customWidth="1" min="16" max="18" width="7.43"/>
    <col customWidth="1" min="19" max="19" width="12.0"/>
    <col customWidth="1" min="20" max="22" width="34.0"/>
  </cols>
  <sheetData>
    <row r="1">
      <c r="A1" s="33" t="s">
        <v>454</v>
      </c>
      <c r="T1" s="33"/>
      <c r="U1" s="33"/>
      <c r="V1" s="33"/>
    </row>
    <row r="2">
      <c r="A2" s="34" t="str">
        <f>IFERROR(__xludf.DUMMYFUNCTION("QUERY('全ウイスキー'!A:S, ""SELECT * WHERE B contains 'ガイアフロー'"")"),"国")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IFERROR(__xludf.DUMMYFUNCTION("""COMPUTED_VALUE"""),"ガイアフロー")</f>
        <v>ガイアフロー</v>
      </c>
      <c r="C3" s="35" t="str">
        <f>IFERROR(__xludf.DUMMYFUNCTION("""COMPUTED_VALUE"""),"ブラックアダー")</f>
        <v>ブラックアダー</v>
      </c>
      <c r="D3" s="35" t="str">
        <f>IFERROR(__xludf.DUMMYFUNCTION("""COMPUTED_VALUE"""),"静岡")</f>
        <v>静岡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IFERROR(__xludf.DUMMYFUNCTION("""COMPUTED_VALUE"""),"#739")</f>
        <v>#739</v>
      </c>
      <c r="G3" s="35" t="str">
        <f>IFERROR(__xludf.DUMMYFUNCTION("""COMPUTED_VALUE"""),"ブラックアダー ロウカスク 静岡 4年")</f>
        <v>ブラックアダー ロウカスク 静岡 4年</v>
      </c>
      <c r="H3" s="35" t="str">
        <f>IFERROR(__xludf.DUMMYFUNCTION("""COMPUTED_VALUE"""),"for BAR BARNS20周年記念")</f>
        <v>for BAR BARNS20周年記念</v>
      </c>
      <c r="I3" s="35"/>
      <c r="J3" s="35"/>
      <c r="K3" s="35"/>
      <c r="L3" s="35"/>
      <c r="M3" s="35"/>
      <c r="N3" s="36"/>
      <c r="O3" s="35"/>
      <c r="P3" s="37">
        <f>IFERROR(__xludf.DUMMYFUNCTION("""COMPUTED_VALUE"""),3000.0)</f>
        <v>3000</v>
      </c>
      <c r="Q3" s="37">
        <f>IFERROR(__xludf.DUMMYFUNCTION("""COMPUTED_VALUE"""),1600.0)</f>
        <v>1600</v>
      </c>
      <c r="R3" s="37"/>
      <c r="S3" s="38">
        <f>IFERROR(__xludf.DUMMYFUNCTION("""COMPUTED_VALUE"""),44982.0)</f>
        <v>44982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IFERROR(__xludf.DUMMYFUNCTION("""COMPUTED_VALUE"""),"ガイアフロー")</f>
        <v>ガイアフロー</v>
      </c>
      <c r="C4" s="35" t="str">
        <f>IFERROR(__xludf.DUMMYFUNCTION("""COMPUTED_VALUE"""),"ガイアフロー")</f>
        <v>ガイアフロー</v>
      </c>
      <c r="D4" s="35" t="str">
        <f>IFERROR(__xludf.DUMMYFUNCTION("""COMPUTED_VALUE"""),"静岡")</f>
        <v>静岡</v>
      </c>
      <c r="E4" s="35" t="str">
        <f>IFERROR(__xludf.DUMMYFUNCTION("""COMPUTED_VALUE"""),"シングルカスク")</f>
        <v>シングルカスク</v>
      </c>
      <c r="F4" s="35" t="str">
        <f>IFERROR(__xludf.DUMMYFUNCTION("""COMPUTED_VALUE"""),"#2017-056")</f>
        <v>#2017-056</v>
      </c>
      <c r="G4" s="35" t="str">
        <f>IFERROR(__xludf.DUMMYFUNCTION("""COMPUTED_VALUE"""),"静岡 BACK TO LIFE")</f>
        <v>静岡 BACK TO LIFE</v>
      </c>
      <c r="H4" s="35" t="str">
        <f>IFERROR(__xludf.DUMMYFUNCTION("""COMPUTED_VALUE"""),"for Anytime Whisky")</f>
        <v>for Anytime Whisky</v>
      </c>
      <c r="I4" s="35"/>
      <c r="J4" s="35"/>
      <c r="K4" s="35"/>
      <c r="L4" s="35"/>
      <c r="M4" s="35"/>
      <c r="N4" s="36"/>
      <c r="O4" s="35"/>
      <c r="P4" s="37">
        <f>IFERROR(__xludf.DUMMYFUNCTION("""COMPUTED_VALUE"""),3000.0)</f>
        <v>3000</v>
      </c>
      <c r="Q4" s="37">
        <f>IFERROR(__xludf.DUMMYFUNCTION("""COMPUTED_VALUE"""),1600.0)</f>
        <v>1600</v>
      </c>
      <c r="R4" s="37"/>
      <c r="S4" s="38"/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IFERROR(__xludf.DUMMYFUNCTION("""COMPUTED_VALUE"""),"ガイアフロー")</f>
        <v>ガイアフロー</v>
      </c>
      <c r="C5" s="35" t="str">
        <f>IFERROR(__xludf.DUMMYFUNCTION("""COMPUTED_VALUE"""),"ガイアフロー")</f>
        <v>ガイアフロー</v>
      </c>
      <c r="D5" s="35" t="str">
        <f>IFERROR(__xludf.DUMMYFUNCTION("""COMPUTED_VALUE"""),"静岡")</f>
        <v>静岡</v>
      </c>
      <c r="E5" s="35" t="str">
        <f>IFERROR(__xludf.DUMMYFUNCTION("""COMPUTED_VALUE"""),"シングルカスク")</f>
        <v>シングルカスク</v>
      </c>
      <c r="F5" s="35" t="str">
        <f>IFERROR(__xludf.DUMMYFUNCTION("""COMPUTED_VALUE"""),"#2017-063")</f>
        <v>#2017-063</v>
      </c>
      <c r="G5" s="35" t="str">
        <f>IFERROR(__xludf.DUMMYFUNCTION("""COMPUTED_VALUE"""),"静岡 for Aichi Bar Friends")</f>
        <v>静岡 for Aichi Bar Friends</v>
      </c>
      <c r="H5" s="35"/>
      <c r="I5" s="35"/>
      <c r="J5" s="35"/>
      <c r="K5" s="35"/>
      <c r="L5" s="35"/>
      <c r="M5" s="35"/>
      <c r="N5" s="36"/>
      <c r="O5" s="35"/>
      <c r="P5" s="37">
        <f>IFERROR(__xludf.DUMMYFUNCTION("""COMPUTED_VALUE"""),2200.0)</f>
        <v>2200</v>
      </c>
      <c r="Q5" s="37">
        <f>IFERROR(__xludf.DUMMYFUNCTION("""COMPUTED_VALUE"""),1200.0)</f>
        <v>1200</v>
      </c>
      <c r="R5" s="37"/>
      <c r="S5" s="38">
        <f>IFERROR(__xludf.DUMMYFUNCTION("""COMPUTED_VALUE"""),45171.0)</f>
        <v>45171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IFERROR(__xludf.DUMMYFUNCTION("""COMPUTED_VALUE"""),"ガイアフロー")</f>
        <v>ガイアフロー</v>
      </c>
      <c r="C6" s="35" t="str">
        <f>IFERROR(__xludf.DUMMYFUNCTION("""COMPUTED_VALUE"""),"ガイアフロー")</f>
        <v>ガイアフロー</v>
      </c>
      <c r="D6" s="35" t="str">
        <f>IFERROR(__xludf.DUMMYFUNCTION("""COMPUTED_VALUE"""),"静岡")</f>
        <v>静岡</v>
      </c>
      <c r="E6" s="35" t="str">
        <f>IFERROR(__xludf.DUMMYFUNCTION("""COMPUTED_VALUE"""),"シングルカスク")</f>
        <v>シングルカスク</v>
      </c>
      <c r="F6" s="35" t="str">
        <f>IFERROR(__xludf.DUMMYFUNCTION("""COMPUTED_VALUE"""),"#2017-110")</f>
        <v>#2017-110</v>
      </c>
      <c r="G6" s="35" t="str">
        <f>IFERROR(__xludf.DUMMYFUNCTION("""COMPUTED_VALUE"""),"静岡 for bar ZOETROPE17周年記念")</f>
        <v>静岡 for bar ZOETROPE17周年記念</v>
      </c>
      <c r="H6" s="35"/>
      <c r="I6" s="35"/>
      <c r="J6" s="35"/>
      <c r="K6" s="35"/>
      <c r="L6" s="35"/>
      <c r="M6" s="35"/>
      <c r="N6" s="36"/>
      <c r="O6" s="35"/>
      <c r="P6" s="37">
        <f>IFERROR(__xludf.DUMMYFUNCTION("""COMPUTED_VALUE"""),2800.0)</f>
        <v>2800</v>
      </c>
      <c r="Q6" s="37">
        <f>IFERROR(__xludf.DUMMYFUNCTION("""COMPUTED_VALUE"""),1500.0)</f>
        <v>1500</v>
      </c>
      <c r="R6" s="37"/>
      <c r="S6" s="38">
        <f>IFERROR(__xludf.DUMMYFUNCTION("""COMPUTED_VALUE"""),45018.0)</f>
        <v>45018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IFERROR(__xludf.DUMMYFUNCTION("""COMPUTED_VALUE"""),"ガイアフロー")</f>
        <v>ガイアフロー</v>
      </c>
      <c r="C7" s="35" t="str">
        <f>IFERROR(__xludf.DUMMYFUNCTION("""COMPUTED_VALUE"""),"ガイアフロー")</f>
        <v>ガイアフロー</v>
      </c>
      <c r="D7" s="35" t="str">
        <f>IFERROR(__xludf.DUMMYFUNCTION("""COMPUTED_VALUE"""),"静岡")</f>
        <v>静岡</v>
      </c>
      <c r="E7" s="35" t="str">
        <f>IFERROR(__xludf.DUMMYFUNCTION("""COMPUTED_VALUE"""),"シングルカスク")</f>
        <v>シングルカスク</v>
      </c>
      <c r="F7" s="35" t="str">
        <f>IFERROR(__xludf.DUMMYFUNCTION("""COMPUTED_VALUE"""),"#2017-183")</f>
        <v>#2017-183</v>
      </c>
      <c r="G7" s="35" t="str">
        <f>IFERROR(__xludf.DUMMYFUNCTION("""COMPUTED_VALUE"""),"静岡 しげお樽")</f>
        <v>静岡 しげお樽</v>
      </c>
      <c r="H7" s="35" t="str">
        <f>IFERROR(__xludf.DUMMYFUNCTION("""COMPUTED_VALUE"""),"for BAR Groovy23周年記念")</f>
        <v>for BAR Groovy23周年記念</v>
      </c>
      <c r="I7" s="35"/>
      <c r="J7" s="35"/>
      <c r="K7" s="35"/>
      <c r="L7" s="35"/>
      <c r="M7" s="35"/>
      <c r="N7" s="36"/>
      <c r="O7" s="35"/>
      <c r="P7" s="37">
        <f>IFERROR(__xludf.DUMMYFUNCTION("""COMPUTED_VALUE"""),3000.0)</f>
        <v>3000</v>
      </c>
      <c r="Q7" s="37">
        <f>IFERROR(__xludf.DUMMYFUNCTION("""COMPUTED_VALUE"""),1600.0)</f>
        <v>1600</v>
      </c>
      <c r="R7" s="37"/>
      <c r="S7" s="38"/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IFERROR(__xludf.DUMMYFUNCTION("""COMPUTED_VALUE"""),"ガイアフロー")</f>
        <v>ガイアフロー</v>
      </c>
      <c r="C8" s="35" t="str">
        <f>IFERROR(__xludf.DUMMYFUNCTION("""COMPUTED_VALUE"""),"ガイアフロー")</f>
        <v>ガイアフロー</v>
      </c>
      <c r="D8" s="35" t="str">
        <f>IFERROR(__xludf.DUMMYFUNCTION("""COMPUTED_VALUE"""),"静岡")</f>
        <v>静岡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IFERROR(__xludf.DUMMYFUNCTION("""COMPUTED_VALUE"""),"静岡 ユナイテッドS 初版")</f>
        <v>静岡 ユナイテッドS 初版</v>
      </c>
      <c r="H8" s="35"/>
      <c r="I8" s="35"/>
      <c r="J8" s="35"/>
      <c r="K8" s="35"/>
      <c r="L8" s="35"/>
      <c r="M8" s="35"/>
      <c r="N8" s="36"/>
      <c r="O8" s="35"/>
      <c r="P8" s="37">
        <f>IFERROR(__xludf.DUMMYFUNCTION("""COMPUTED_VALUE"""),2400.0)</f>
        <v>2400</v>
      </c>
      <c r="Q8" s="37">
        <f>IFERROR(__xludf.DUMMYFUNCTION("""COMPUTED_VALUE"""),1300.0)</f>
        <v>1300</v>
      </c>
      <c r="R8" s="37"/>
      <c r="S8" s="38">
        <f>IFERROR(__xludf.DUMMYFUNCTION("""COMPUTED_VALUE"""),44917.0)</f>
        <v>44917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IFERROR(__xludf.DUMMYFUNCTION("""COMPUTED_VALUE"""),"ガイアフロー")</f>
        <v>ガイアフロー</v>
      </c>
      <c r="C9" s="35" t="str">
        <f>IFERROR(__xludf.DUMMYFUNCTION("""COMPUTED_VALUE"""),"ガイアフロー")</f>
        <v>ガイアフロー</v>
      </c>
      <c r="D9" s="35" t="str">
        <f>IFERROR(__xludf.DUMMYFUNCTION("""COMPUTED_VALUE"""),"静岡")</f>
        <v>静岡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IFERROR(__xludf.DUMMYFUNCTION("""COMPUTED_VALUE"""),"静岡 ユナイテッドS")</f>
        <v>静岡 ユナイテッドS</v>
      </c>
      <c r="H9" s="35"/>
      <c r="I9" s="35"/>
      <c r="J9" s="35"/>
      <c r="K9" s="35"/>
      <c r="L9" s="35" t="str">
        <f>IFERROR(__xludf.DUMMYFUNCTION("""COMPUTED_VALUE"""),"✓")</f>
        <v>✓</v>
      </c>
      <c r="M9" s="35"/>
      <c r="N9" s="36"/>
      <c r="O9" s="35"/>
      <c r="P9" s="37">
        <f>IFERROR(__xludf.DUMMYFUNCTION("""COMPUTED_VALUE"""),1800.0)</f>
        <v>1800</v>
      </c>
      <c r="Q9" s="37">
        <f>IFERROR(__xludf.DUMMYFUNCTION("""COMPUTED_VALUE"""),1000.0)</f>
        <v>1000</v>
      </c>
      <c r="R9" s="37"/>
      <c r="S9" s="38">
        <f>IFERROR(__xludf.DUMMYFUNCTION("""COMPUTED_VALUE"""),45817.0)</f>
        <v>45817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IFERROR(__xludf.DUMMYFUNCTION("""COMPUTED_VALUE"""),"ガイアフロー")</f>
        <v>ガイアフロー</v>
      </c>
      <c r="C10" s="35" t="str">
        <f>IFERROR(__xludf.DUMMYFUNCTION("""COMPUTED_VALUE"""),"ガイアフロー")</f>
        <v>ガイアフロー</v>
      </c>
      <c r="D10" s="35" t="str">
        <f>IFERROR(__xludf.DUMMYFUNCTION("""COMPUTED_VALUE"""),"静岡")</f>
        <v>静岡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IFERROR(__xludf.DUMMYFUNCTION("""COMPUTED_VALUE"""),"静岡 ユナイテッドS 7年　2025年夏")</f>
        <v>静岡 ユナイテッドS 7年　2025年夏</v>
      </c>
      <c r="H10" s="35"/>
      <c r="I10" s="35"/>
      <c r="J10" s="35"/>
      <c r="K10" s="35"/>
      <c r="L10" s="35"/>
      <c r="M10" s="35"/>
      <c r="N10" s="36"/>
      <c r="O10" s="35"/>
      <c r="P10" s="37">
        <f>IFERROR(__xludf.DUMMYFUNCTION("""COMPUTED_VALUE"""),2400.0)</f>
        <v>2400</v>
      </c>
      <c r="Q10" s="37">
        <f>IFERROR(__xludf.DUMMYFUNCTION("""COMPUTED_VALUE"""),1300.0)</f>
        <v>1300</v>
      </c>
      <c r="R10" s="37"/>
      <c r="S10" s="38"/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IFERROR(__xludf.DUMMYFUNCTION("""COMPUTED_VALUE"""),"ガイアフロー")</f>
        <v>ガイアフロー</v>
      </c>
      <c r="C11" s="35" t="str">
        <f>IFERROR(__xludf.DUMMYFUNCTION("""COMPUTED_VALUE"""),"ガイアフロー")</f>
        <v>ガイアフロー</v>
      </c>
      <c r="D11" s="35" t="str">
        <f>IFERROR(__xludf.DUMMYFUNCTION("""COMPUTED_VALUE"""),"静岡")</f>
        <v>静岡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IFERROR(__xludf.DUMMYFUNCTION("""COMPUTED_VALUE"""),"静岡 コンタクトS")</f>
        <v>静岡 コンタクトS</v>
      </c>
      <c r="H11" s="35"/>
      <c r="I11" s="35"/>
      <c r="J11" s="35"/>
      <c r="K11" s="35"/>
      <c r="L11" s="35"/>
      <c r="M11" s="35"/>
      <c r="N11" s="36"/>
      <c r="O11" s="35"/>
      <c r="P11" s="37">
        <f>IFERROR(__xludf.DUMMYFUNCTION("""COMPUTED_VALUE"""),2200.0)</f>
        <v>2200</v>
      </c>
      <c r="Q11" s="37">
        <f>IFERROR(__xludf.DUMMYFUNCTION("""COMPUTED_VALUE"""),1200.0)</f>
        <v>1200</v>
      </c>
      <c r="R11" s="37"/>
      <c r="S11" s="38">
        <f>IFERROR(__xludf.DUMMYFUNCTION("""COMPUTED_VALUE"""),44916.0)</f>
        <v>44916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IFERROR(__xludf.DUMMYFUNCTION("""COMPUTED_VALUE"""),"ガイアフロー")</f>
        <v>ガイアフロー</v>
      </c>
      <c r="C12" s="35" t="str">
        <f>IFERROR(__xludf.DUMMYFUNCTION("""COMPUTED_VALUE"""),"ガイアフロー")</f>
        <v>ガイアフロー</v>
      </c>
      <c r="D12" s="35" t="str">
        <f>IFERROR(__xludf.DUMMYFUNCTION("""COMPUTED_VALUE"""),"静岡")</f>
        <v>静岡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IFERROR(__xludf.DUMMYFUNCTION("""COMPUTED_VALUE"""),"静岡 プロローグK")</f>
        <v>静岡 プロローグK</v>
      </c>
      <c r="H12" s="35"/>
      <c r="I12" s="35"/>
      <c r="J12" s="35"/>
      <c r="K12" s="35"/>
      <c r="L12" s="35"/>
      <c r="M12" s="35"/>
      <c r="N12" s="36"/>
      <c r="O12" s="35"/>
      <c r="P12" s="37">
        <f>IFERROR(__xludf.DUMMYFUNCTION("""COMPUTED_VALUE"""),2200.0)</f>
        <v>2200</v>
      </c>
      <c r="Q12" s="37">
        <f>IFERROR(__xludf.DUMMYFUNCTION("""COMPUTED_VALUE"""),1200.0)</f>
        <v>1200</v>
      </c>
      <c r="R12" s="37"/>
      <c r="S12" s="38">
        <f>IFERROR(__xludf.DUMMYFUNCTION("""COMPUTED_VALUE"""),44909.0)</f>
        <v>44909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IFERROR(__xludf.DUMMYFUNCTION("""COMPUTED_VALUE"""),"ガイアフロー")</f>
        <v>ガイアフロー</v>
      </c>
      <c r="C13" s="35" t="str">
        <f>IFERROR(__xludf.DUMMYFUNCTION("""COMPUTED_VALUE"""),"ガイアフロー")</f>
        <v>ガイアフロー</v>
      </c>
      <c r="D13" s="35" t="str">
        <f>IFERROR(__xludf.DUMMYFUNCTION("""COMPUTED_VALUE"""),"静岡")</f>
        <v>静岡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IFERROR(__xludf.DUMMYFUNCTION("""COMPUTED_VALUE"""),"静岡 プロローグW")</f>
        <v>静岡 プロローグW</v>
      </c>
      <c r="H13" s="35"/>
      <c r="I13" s="35"/>
      <c r="J13" s="35"/>
      <c r="K13" s="35"/>
      <c r="L13" s="35"/>
      <c r="M13" s="35"/>
      <c r="N13" s="36"/>
      <c r="O13" s="35"/>
      <c r="P13" s="37">
        <f>IFERROR(__xludf.DUMMYFUNCTION("""COMPUTED_VALUE"""),2200.0)</f>
        <v>2200</v>
      </c>
      <c r="Q13" s="37">
        <f>IFERROR(__xludf.DUMMYFUNCTION("""COMPUTED_VALUE"""),1200.0)</f>
        <v>1200</v>
      </c>
      <c r="R13" s="37"/>
      <c r="S13" s="38">
        <f>IFERROR(__xludf.DUMMYFUNCTION("""COMPUTED_VALUE"""),44915.0)</f>
        <v>44915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IFERROR(__xludf.DUMMYFUNCTION("""COMPUTED_VALUE"""),"ガイアフロー")</f>
        <v>ガイアフロー</v>
      </c>
      <c r="C14" s="35" t="str">
        <f>IFERROR(__xludf.DUMMYFUNCTION("""COMPUTED_VALUE"""),"ガイアフロー")</f>
        <v>ガイアフロー</v>
      </c>
      <c r="D14" s="35" t="str">
        <f>IFERROR(__xludf.DUMMYFUNCTION("""COMPUTED_VALUE"""),"静岡")</f>
        <v>静岡</v>
      </c>
      <c r="E14" s="35" t="str">
        <f>IFERROR(__xludf.DUMMYFUNCTION("""COMPUTED_VALUE"""),"シングルモルト")</f>
        <v>シングルモルト</v>
      </c>
      <c r="F14" s="35"/>
      <c r="G14" s="35" t="str">
        <f>IFERROR(__xludf.DUMMYFUNCTION("""COMPUTED_VALUE"""),"静岡 ポットスティルK 純外国産大麦 初版")</f>
        <v>静岡 ポットスティルK 純外国産大麦 初版</v>
      </c>
      <c r="H14" s="35"/>
      <c r="I14" s="35"/>
      <c r="J14" s="35"/>
      <c r="K14" s="35"/>
      <c r="L14" s="35"/>
      <c r="M14" s="35"/>
      <c r="N14" s="36"/>
      <c r="O14" s="35"/>
      <c r="P14" s="37">
        <f>IFERROR(__xludf.DUMMYFUNCTION("""COMPUTED_VALUE"""),2200.0)</f>
        <v>2200</v>
      </c>
      <c r="Q14" s="37">
        <f>IFERROR(__xludf.DUMMYFUNCTION("""COMPUTED_VALUE"""),1200.0)</f>
        <v>1200</v>
      </c>
      <c r="R14" s="37"/>
      <c r="S14" s="38">
        <f>IFERROR(__xludf.DUMMYFUNCTION("""COMPUTED_VALUE"""),44998.0)</f>
        <v>44998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IFERROR(__xludf.DUMMYFUNCTION("""COMPUTED_VALUE"""),"ガイアフロー")</f>
        <v>ガイアフロー</v>
      </c>
      <c r="C15" s="35" t="str">
        <f>IFERROR(__xludf.DUMMYFUNCTION("""COMPUTED_VALUE"""),"ガイアフロー")</f>
        <v>ガイアフロー</v>
      </c>
      <c r="D15" s="35" t="str">
        <f>IFERROR(__xludf.DUMMYFUNCTION("""COMPUTED_VALUE"""),"静岡")</f>
        <v>静岡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IFERROR(__xludf.DUMMYFUNCTION("""COMPUTED_VALUE"""),"静岡 ポットスティルK 純日本大麦 初版")</f>
        <v>静岡 ポットスティルK 純日本大麦 初版</v>
      </c>
      <c r="H15" s="35"/>
      <c r="I15" s="35"/>
      <c r="J15" s="35"/>
      <c r="K15" s="35"/>
      <c r="L15" s="35"/>
      <c r="M15" s="35"/>
      <c r="N15" s="36"/>
      <c r="O15" s="35"/>
      <c r="P15" s="37">
        <f>IFERROR(__xludf.DUMMYFUNCTION("""COMPUTED_VALUE"""),2800.0)</f>
        <v>2800</v>
      </c>
      <c r="Q15" s="37">
        <f>IFERROR(__xludf.DUMMYFUNCTION("""COMPUTED_VALUE"""),1500.0)</f>
        <v>1500</v>
      </c>
      <c r="R15" s="37"/>
      <c r="S15" s="38">
        <f>IFERROR(__xludf.DUMMYFUNCTION("""COMPUTED_VALUE"""),44819.0)</f>
        <v>44819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IFERROR(__xludf.DUMMYFUNCTION("""COMPUTED_VALUE"""),"ガイアフロー")</f>
        <v>ガイアフロー</v>
      </c>
      <c r="C16" s="35" t="str">
        <f>IFERROR(__xludf.DUMMYFUNCTION("""COMPUTED_VALUE"""),"ガイアフロー")</f>
        <v>ガイアフロー</v>
      </c>
      <c r="D16" s="35" t="str">
        <f>IFERROR(__xludf.DUMMYFUNCTION("""COMPUTED_VALUE"""),"静岡")</f>
        <v>静岡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IFERROR(__xludf.DUMMYFUNCTION("""COMPUTED_VALUE"""),"静岡 ポットスティルW 純外国産大麦 初版")</f>
        <v>静岡 ポットスティルW 純外国産大麦 初版</v>
      </c>
      <c r="H16" s="35"/>
      <c r="I16" s="35"/>
      <c r="J16" s="35"/>
      <c r="K16" s="35"/>
      <c r="L16" s="35"/>
      <c r="M16" s="35"/>
      <c r="N16" s="36"/>
      <c r="O16" s="35"/>
      <c r="P16" s="37">
        <f>IFERROR(__xludf.DUMMYFUNCTION("""COMPUTED_VALUE"""),2200.0)</f>
        <v>2200</v>
      </c>
      <c r="Q16" s="37">
        <f>IFERROR(__xludf.DUMMYFUNCTION("""COMPUTED_VALUE"""),1200.0)</f>
        <v>1200</v>
      </c>
      <c r="R16" s="37"/>
      <c r="S16" s="38">
        <f>IFERROR(__xludf.DUMMYFUNCTION("""COMPUTED_VALUE"""),44798.0)</f>
        <v>44798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IFERROR(__xludf.DUMMYFUNCTION("""COMPUTED_VALUE"""),"ガイアフロー")</f>
        <v>ガイアフロー</v>
      </c>
      <c r="C17" s="35" t="str">
        <f>IFERROR(__xludf.DUMMYFUNCTION("""COMPUTED_VALUE"""),"ガイアフロー")</f>
        <v>ガイアフロー</v>
      </c>
      <c r="D17" s="35" t="str">
        <f>IFERROR(__xludf.DUMMYFUNCTION("""COMPUTED_VALUE"""),"静岡")</f>
        <v>静岡</v>
      </c>
      <c r="E17" s="35" t="str">
        <f>IFERROR(__xludf.DUMMYFUNCTION("""COMPUTED_VALUE"""),"シングルモルト")</f>
        <v>シングルモルト</v>
      </c>
      <c r="F17" s="35"/>
      <c r="G17" s="35" t="str">
        <f>IFERROR(__xludf.DUMMYFUNCTION("""COMPUTED_VALUE"""),"静岡 ポットスティルW 純日本大麦 初版")</f>
        <v>静岡 ポットスティルW 純日本大麦 初版</v>
      </c>
      <c r="H17" s="35"/>
      <c r="I17" s="35"/>
      <c r="J17" s="35"/>
      <c r="K17" s="35"/>
      <c r="L17" s="35"/>
      <c r="M17" s="35"/>
      <c r="N17" s="36"/>
      <c r="O17" s="35"/>
      <c r="P17" s="37">
        <f>IFERROR(__xludf.DUMMYFUNCTION("""COMPUTED_VALUE"""),2800.0)</f>
        <v>2800</v>
      </c>
      <c r="Q17" s="37">
        <f>IFERROR(__xludf.DUMMYFUNCTION("""COMPUTED_VALUE"""),1500.0)</f>
        <v>1500</v>
      </c>
      <c r="R17" s="37"/>
      <c r="S17" s="38">
        <f>IFERROR(__xludf.DUMMYFUNCTION("""COMPUTED_VALUE"""),45091.0)</f>
        <v>45091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IFERROR(__xludf.DUMMYFUNCTION("""COMPUTED_VALUE"""),"ガイアフロー")</f>
        <v>ガイアフロー</v>
      </c>
      <c r="C18" s="35" t="str">
        <f>IFERROR(__xludf.DUMMYFUNCTION("""COMPUTED_VALUE"""),"ガイアフロー")</f>
        <v>ガイアフロー</v>
      </c>
      <c r="D18" s="35"/>
      <c r="E18" s="35" t="str">
        <f>IFERROR(__xludf.DUMMYFUNCTION("""COMPUTED_VALUE"""),"ブレンデッド")</f>
        <v>ブレンデッド</v>
      </c>
      <c r="F18" s="35"/>
      <c r="G18" s="35" t="str">
        <f>IFERROR(__xludf.DUMMYFUNCTION("""COMPUTED_VALUE"""),"ブレンデッドM")</f>
        <v>ブレンデッドM</v>
      </c>
      <c r="H18" s="35"/>
      <c r="I18" s="35"/>
      <c r="J18" s="35"/>
      <c r="K18" s="35"/>
      <c r="L18" s="35" t="str">
        <f>IFERROR(__xludf.DUMMYFUNCTION("""COMPUTED_VALUE"""),"✓")</f>
        <v>✓</v>
      </c>
      <c r="M18" s="35"/>
      <c r="N18" s="36"/>
      <c r="O18" s="35"/>
      <c r="P18" s="37">
        <f>IFERROR(__xludf.DUMMYFUNCTION("""COMPUTED_VALUE"""),1100.0)</f>
        <v>1100</v>
      </c>
      <c r="Q18" s="37">
        <f>IFERROR(__xludf.DUMMYFUNCTION("""COMPUTED_VALUE"""),650.0)</f>
        <v>650</v>
      </c>
      <c r="R18" s="37"/>
      <c r="S18" s="38">
        <f>IFERROR(__xludf.DUMMYFUNCTION("""COMPUTED_VALUE"""),45766.0)</f>
        <v>45766</v>
      </c>
      <c r="T18" s="35"/>
      <c r="U18" s="35"/>
      <c r="V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0.14"/>
    <col customWidth="1" min="3" max="3" width="16.43"/>
    <col customWidth="1" hidden="1" min="4" max="4" width="21.14"/>
    <col customWidth="1" min="5" max="5" width="21.14"/>
    <col customWidth="1" hidden="1" min="6" max="6" width="5.71"/>
    <col customWidth="1" min="7" max="7" width="73.71"/>
    <col customWidth="1" min="8" max="8" width="32.71"/>
    <col customWidth="1" hidden="1" min="9" max="9" width="6.29"/>
    <col customWidth="1" hidden="1" min="10" max="10" width="12.0"/>
    <col customWidth="1" hidden="1" min="11" max="11" width="5.71"/>
    <col customWidth="1" hidden="1" min="12" max="12" width="32.71"/>
    <col customWidth="1" hidden="1" min="13" max="13" width="34.0"/>
    <col customWidth="1" min="14" max="14" width="5.71"/>
    <col customWidth="1" hidden="1" min="15" max="15" width="34.0"/>
    <col customWidth="1" min="16" max="18" width="7.43"/>
    <col customWidth="1" min="19" max="19" width="12.0"/>
    <col customWidth="1" min="20" max="22" width="34.0"/>
  </cols>
  <sheetData>
    <row r="1">
      <c r="A1" s="33" t="s">
        <v>480</v>
      </c>
      <c r="T1" s="33"/>
      <c r="U1" s="33"/>
      <c r="V1" s="33"/>
    </row>
    <row r="2">
      <c r="A2" s="34" t="str">
        <f>IFERROR(__xludf.DUMMYFUNCTION("QUERY('全ウイスキー'!A:S, ""SELECT * WHERE B contains 'サクラオB&amp;D' OR B contains '中国醸造'"")"),"国")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IFERROR(__xludf.DUMMYFUNCTION("""COMPUTED_VALUE"""),"サクラオB&amp;D")</f>
        <v>サクラオB&amp;D</v>
      </c>
      <c r="C3" s="35" t="str">
        <f>IFERROR(__xludf.DUMMYFUNCTION("""COMPUTED_VALUE"""),"サクラオB&amp;D")</f>
        <v>サクラオB&amp;D</v>
      </c>
      <c r="D3" s="35" t="str">
        <f>IFERROR(__xludf.DUMMYFUNCTION("""COMPUTED_VALUE"""),"桜尾")</f>
        <v>桜尾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IFERROR(__xludf.DUMMYFUNCTION("""COMPUTED_VALUE"""),"#5535")</f>
        <v>#5535</v>
      </c>
      <c r="G3" s="35" t="str">
        <f>IFERROR(__xludf.DUMMYFUNCTION("""COMPUTED_VALUE"""),"桜尾 IPAカスク")</f>
        <v>桜尾 IPAカスク</v>
      </c>
      <c r="H3" s="35" t="str">
        <f>IFERROR(__xludf.DUMMYFUNCTION("""COMPUTED_VALUE"""),"for WLN2024")</f>
        <v>for WLN2024</v>
      </c>
      <c r="I3" s="35"/>
      <c r="J3" s="35"/>
      <c r="K3" s="35"/>
      <c r="L3" s="35"/>
      <c r="M3" s="35"/>
      <c r="N3" s="36"/>
      <c r="O3" s="35"/>
      <c r="P3" s="37">
        <f>IFERROR(__xludf.DUMMYFUNCTION("""COMPUTED_VALUE"""),3500.0)</f>
        <v>3500</v>
      </c>
      <c r="Q3" s="37">
        <f>IFERROR(__xludf.DUMMYFUNCTION("""COMPUTED_VALUE"""),1900.0)</f>
        <v>1900</v>
      </c>
      <c r="R3" s="37"/>
      <c r="S3" s="38">
        <f>IFERROR(__xludf.DUMMYFUNCTION("""COMPUTED_VALUE"""),45346.0)</f>
        <v>45346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IFERROR(__xludf.DUMMYFUNCTION("""COMPUTED_VALUE"""),"サクラオB&amp;D")</f>
        <v>サクラオB&amp;D</v>
      </c>
      <c r="C4" s="35" t="str">
        <f>IFERROR(__xludf.DUMMYFUNCTION("""COMPUTED_VALUE"""),"サクラオB&amp;D")</f>
        <v>サクラオB&amp;D</v>
      </c>
      <c r="D4" s="35" t="str">
        <f>IFERROR(__xludf.DUMMYFUNCTION("""COMPUTED_VALUE"""),"桜尾")</f>
        <v>桜尾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IFERROR(__xludf.DUMMYFUNCTION("""COMPUTED_VALUE"""),"桜尾 1st.リリースカスクストレングス")</f>
        <v>桜尾 1st.リリースカスクストレングス</v>
      </c>
      <c r="H4" s="35"/>
      <c r="I4" s="35"/>
      <c r="J4" s="35"/>
      <c r="K4" s="35"/>
      <c r="L4" s="35"/>
      <c r="M4" s="35"/>
      <c r="N4" s="36"/>
      <c r="O4" s="35"/>
      <c r="P4" s="37">
        <f>IFERROR(__xludf.DUMMYFUNCTION("""COMPUTED_VALUE"""),2600.0)</f>
        <v>2600</v>
      </c>
      <c r="Q4" s="37">
        <f>IFERROR(__xludf.DUMMYFUNCTION("""COMPUTED_VALUE"""),1400.0)</f>
        <v>1400</v>
      </c>
      <c r="R4" s="37"/>
      <c r="S4" s="38">
        <f>IFERROR(__xludf.DUMMYFUNCTION("""COMPUTED_VALUE"""),45348.0)</f>
        <v>45348</v>
      </c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IFERROR(__xludf.DUMMYFUNCTION("""COMPUTED_VALUE"""),"サクラオB&amp;D")</f>
        <v>サクラオB&amp;D</v>
      </c>
      <c r="C5" s="35" t="str">
        <f>IFERROR(__xludf.DUMMYFUNCTION("""COMPUTED_VALUE"""),"サクラオB&amp;D")</f>
        <v>サクラオB&amp;D</v>
      </c>
      <c r="D5" s="35" t="str">
        <f>IFERROR(__xludf.DUMMYFUNCTION("""COMPUTED_VALUE"""),"桜尾")</f>
        <v>桜尾</v>
      </c>
      <c r="E5" s="35" t="str">
        <f>IFERROR(__xludf.DUMMYFUNCTION("""COMPUTED_VALUE"""),"シングルモルト")</f>
        <v>シングルモルト</v>
      </c>
      <c r="F5" s="35"/>
      <c r="G5" s="35" t="str">
        <f>IFERROR(__xludf.DUMMYFUNCTION("""COMPUTED_VALUE"""),"桜尾")</f>
        <v>桜尾</v>
      </c>
      <c r="H5" s="35"/>
      <c r="I5" s="35"/>
      <c r="J5" s="35"/>
      <c r="K5" s="35"/>
      <c r="L5" s="35" t="str">
        <f>IFERROR(__xludf.DUMMYFUNCTION("""COMPUTED_VALUE"""),"✓")</f>
        <v>✓</v>
      </c>
      <c r="M5" s="35"/>
      <c r="N5" s="36"/>
      <c r="O5" s="35"/>
      <c r="P5" s="37">
        <f>IFERROR(__xludf.DUMMYFUNCTION("""COMPUTED_VALUE"""),1200.0)</f>
        <v>1200</v>
      </c>
      <c r="Q5" s="37">
        <f>IFERROR(__xludf.DUMMYFUNCTION("""COMPUTED_VALUE"""),700.0)</f>
        <v>700</v>
      </c>
      <c r="R5" s="37"/>
      <c r="S5" s="38">
        <f>IFERROR(__xludf.DUMMYFUNCTION("""COMPUTED_VALUE"""),44985.0)</f>
        <v>44985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IFERROR(__xludf.DUMMYFUNCTION("""COMPUTED_VALUE"""),"サクラオB&amp;D")</f>
        <v>サクラオB&amp;D</v>
      </c>
      <c r="C6" s="35" t="str">
        <f>IFERROR(__xludf.DUMMYFUNCTION("""COMPUTED_VALUE"""),"サクラオB&amp;D")</f>
        <v>サクラオB&amp;D</v>
      </c>
      <c r="D6" s="35" t="str">
        <f>IFERROR(__xludf.DUMMYFUNCTION("""COMPUTED_VALUE"""),"桜尾")</f>
        <v>桜尾</v>
      </c>
      <c r="E6" s="35" t="str">
        <f>IFERROR(__xludf.DUMMYFUNCTION("""COMPUTED_VALUE"""),"シングルモルト")</f>
        <v>シングルモルト</v>
      </c>
      <c r="F6" s="35"/>
      <c r="G6" s="35" t="str">
        <f>IFERROR(__xludf.DUMMYFUNCTION("""COMPUTED_VALUE"""),"桜尾シェリーカスク スティルマンズセレクション")</f>
        <v>桜尾シェリーカスク スティルマンズセレクション</v>
      </c>
      <c r="H6" s="35"/>
      <c r="I6" s="35"/>
      <c r="J6" s="35"/>
      <c r="K6" s="35"/>
      <c r="L6" s="35"/>
      <c r="M6" s="35"/>
      <c r="N6" s="36"/>
      <c r="O6" s="35"/>
      <c r="P6" s="37">
        <f>IFERROR(__xludf.DUMMYFUNCTION("""COMPUTED_VALUE"""),2400.0)</f>
        <v>2400</v>
      </c>
      <c r="Q6" s="37">
        <f>IFERROR(__xludf.DUMMYFUNCTION("""COMPUTED_VALUE"""),1300.0)</f>
        <v>1300</v>
      </c>
      <c r="R6" s="37"/>
      <c r="S6" s="38">
        <f>IFERROR(__xludf.DUMMYFUNCTION("""COMPUTED_VALUE"""),45347.0)</f>
        <v>45347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IFERROR(__xludf.DUMMYFUNCTION("""COMPUTED_VALUE"""),"サクラオB&amp;D")</f>
        <v>サクラオB&amp;D</v>
      </c>
      <c r="C7" s="35" t="str">
        <f>IFERROR(__xludf.DUMMYFUNCTION("""COMPUTED_VALUE"""),"サクラオB&amp;D")</f>
        <v>サクラオB&amp;D</v>
      </c>
      <c r="D7" s="35" t="str">
        <f>IFERROR(__xludf.DUMMYFUNCTION("""COMPUTED_VALUE"""),"桜尾")</f>
        <v>桜尾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IFERROR(__xludf.DUMMYFUNCTION("""COMPUTED_VALUE"""),"桜尾 スパニッシュオーク スティルマンズセレクション")</f>
        <v>桜尾 スパニッシュオーク スティルマンズセレクション</v>
      </c>
      <c r="H7" s="35"/>
      <c r="I7" s="35"/>
      <c r="J7" s="35"/>
      <c r="K7" s="35"/>
      <c r="L7" s="35"/>
      <c r="M7" s="35"/>
      <c r="N7" s="36">
        <f>IFERROR(__xludf.DUMMYFUNCTION("""COMPUTED_VALUE"""),0.5)</f>
        <v>0.5</v>
      </c>
      <c r="O7" s="35"/>
      <c r="P7" s="37">
        <f>IFERROR(__xludf.DUMMYFUNCTION("""COMPUTED_VALUE"""),2600.0)</f>
        <v>2600</v>
      </c>
      <c r="Q7" s="37">
        <f>IFERROR(__xludf.DUMMYFUNCTION("""COMPUTED_VALUE"""),1400.0)</f>
        <v>1400</v>
      </c>
      <c r="R7" s="37"/>
      <c r="S7" s="38">
        <f>IFERROR(__xludf.DUMMYFUNCTION("""COMPUTED_VALUE"""),45920.0)</f>
        <v>45920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IFERROR(__xludf.DUMMYFUNCTION("""COMPUTED_VALUE"""),"サクラオB&amp;D")</f>
        <v>サクラオB&amp;D</v>
      </c>
      <c r="C8" s="35" t="str">
        <f>IFERROR(__xludf.DUMMYFUNCTION("""COMPUTED_VALUE"""),"サクラオB&amp;D")</f>
        <v>サクラオB&amp;D</v>
      </c>
      <c r="D8" s="35" t="str">
        <f>IFERROR(__xludf.DUMMYFUNCTION("""COMPUTED_VALUE"""),"桜尾")</f>
        <v>桜尾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IFERROR(__xludf.DUMMYFUNCTION("""COMPUTED_VALUE"""),"戸河内")</f>
        <v>戸河内</v>
      </c>
      <c r="H8" s="35"/>
      <c r="I8" s="35" t="str">
        <f>IFERROR(__xludf.DUMMYFUNCTION("""COMPUTED_VALUE"""),"戸河内")</f>
        <v>戸河内</v>
      </c>
      <c r="J8" s="35"/>
      <c r="K8" s="35"/>
      <c r="L8" s="35" t="str">
        <f>IFERROR(__xludf.DUMMYFUNCTION("""COMPUTED_VALUE"""),"✓")</f>
        <v>✓</v>
      </c>
      <c r="M8" s="35"/>
      <c r="N8" s="36"/>
      <c r="O8" s="35"/>
      <c r="P8" s="37">
        <f>IFERROR(__xludf.DUMMYFUNCTION("""COMPUTED_VALUE"""),1200.0)</f>
        <v>1200</v>
      </c>
      <c r="Q8" s="37">
        <f>IFERROR(__xludf.DUMMYFUNCTION("""COMPUTED_VALUE"""),700.0)</f>
        <v>700</v>
      </c>
      <c r="R8" s="37"/>
      <c r="S8" s="38">
        <f>IFERROR(__xludf.DUMMYFUNCTION("""COMPUTED_VALUE"""),44986.0)</f>
        <v>44986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IFERROR(__xludf.DUMMYFUNCTION("""COMPUTED_VALUE"""),"サクラオB&amp;D")</f>
        <v>サクラオB&amp;D</v>
      </c>
      <c r="C9" s="35" t="str">
        <f>IFERROR(__xludf.DUMMYFUNCTION("""COMPUTED_VALUE"""),"サクラオB&amp;D")</f>
        <v>サクラオB&amp;D</v>
      </c>
      <c r="D9" s="35" t="str">
        <f>IFERROR(__xludf.DUMMYFUNCTION("""COMPUTED_VALUE"""),"桜尾")</f>
        <v>桜尾</v>
      </c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IFERROR(__xludf.DUMMYFUNCTION("""COMPUTED_VALUE"""),"戸河内 1st.リリースカスクストレングス")</f>
        <v>戸河内 1st.リリースカスクストレングス</v>
      </c>
      <c r="H9" s="35"/>
      <c r="I9" s="35" t="str">
        <f>IFERROR(__xludf.DUMMYFUNCTION("""COMPUTED_VALUE"""),"戸河内")</f>
        <v>戸河内</v>
      </c>
      <c r="J9" s="35"/>
      <c r="K9" s="35"/>
      <c r="L9" s="35"/>
      <c r="M9" s="35"/>
      <c r="N9" s="36"/>
      <c r="O9" s="35"/>
      <c r="P9" s="37">
        <f>IFERROR(__xludf.DUMMYFUNCTION("""COMPUTED_VALUE"""),2600.0)</f>
        <v>2600</v>
      </c>
      <c r="Q9" s="37">
        <f>IFERROR(__xludf.DUMMYFUNCTION("""COMPUTED_VALUE"""),1400.0)</f>
        <v>1400</v>
      </c>
      <c r="R9" s="37"/>
      <c r="S9" s="38">
        <f>IFERROR(__xludf.DUMMYFUNCTION("""COMPUTED_VALUE"""),45349.0)</f>
        <v>45349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IFERROR(__xludf.DUMMYFUNCTION("""COMPUTED_VALUE"""),"サクラオB&amp;D")</f>
        <v>サクラオB&amp;D</v>
      </c>
      <c r="C10" s="35" t="str">
        <f>IFERROR(__xludf.DUMMYFUNCTION("""COMPUTED_VALUE"""),"サクラオB&amp;D")</f>
        <v>サクラオB&amp;D</v>
      </c>
      <c r="D10" s="35" t="str">
        <f>IFERROR(__xludf.DUMMYFUNCTION("""COMPUTED_VALUE"""),"桜尾")</f>
        <v>桜尾</v>
      </c>
      <c r="E10" s="35" t="str">
        <f>IFERROR(__xludf.DUMMYFUNCTION("""COMPUTED_VALUE"""),"ブレンデッド")</f>
        <v>ブレンデッド</v>
      </c>
      <c r="F10" s="35"/>
      <c r="G10" s="35" t="str">
        <f>IFERROR(__xludf.DUMMYFUNCTION("""COMPUTED_VALUE"""),"ソガイニ")</f>
        <v>ソガイニ</v>
      </c>
      <c r="H10" s="35"/>
      <c r="I10" s="35"/>
      <c r="J10" s="35"/>
      <c r="K10" s="35"/>
      <c r="L10" s="35" t="str">
        <f>IFERROR(__xludf.DUMMYFUNCTION("""COMPUTED_VALUE"""),"✓")</f>
        <v>✓</v>
      </c>
      <c r="M10" s="35"/>
      <c r="N10" s="36"/>
      <c r="O10" s="35"/>
      <c r="P10" s="37">
        <f>IFERROR(__xludf.DUMMYFUNCTION("""COMPUTED_VALUE"""),1000.0)</f>
        <v>1000</v>
      </c>
      <c r="Q10" s="37">
        <f>IFERROR(__xludf.DUMMYFUNCTION("""COMPUTED_VALUE"""),600.0)</f>
        <v>600</v>
      </c>
      <c r="R10" s="37"/>
      <c r="S10" s="38"/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IFERROR(__xludf.DUMMYFUNCTION("""COMPUTED_VALUE"""),"中国醸造")</f>
        <v>中国醸造</v>
      </c>
      <c r="C11" s="35" t="str">
        <f>IFERROR(__xludf.DUMMYFUNCTION("""COMPUTED_VALUE"""),"中国醸造")</f>
        <v>中国醸造</v>
      </c>
      <c r="D11" s="35"/>
      <c r="E11" s="35" t="str">
        <f>IFERROR(__xludf.DUMMYFUNCTION("""COMPUTED_VALUE"""),"ブレンデッド")</f>
        <v>ブレンデッド</v>
      </c>
      <c r="F11" s="35"/>
      <c r="G11" s="35" t="str">
        <f>IFERROR(__xludf.DUMMYFUNCTION("""COMPUTED_VALUE"""),"戸河内 ビアカスクフィニッシュ")</f>
        <v>戸河内 ビアカスクフィニッシュ</v>
      </c>
      <c r="H11" s="35"/>
      <c r="I11" s="35"/>
      <c r="J11" s="35"/>
      <c r="K11" s="35"/>
      <c r="L11" s="35"/>
      <c r="M11" s="35"/>
      <c r="N11" s="36"/>
      <c r="O11" s="35"/>
      <c r="P11" s="37">
        <f>IFERROR(__xludf.DUMMYFUNCTION("""COMPUTED_VALUE"""),1000.0)</f>
        <v>1000</v>
      </c>
      <c r="Q11" s="37">
        <f>IFERROR(__xludf.DUMMYFUNCTION("""COMPUTED_VALUE"""),600.0)</f>
        <v>600</v>
      </c>
      <c r="R11" s="37"/>
      <c r="S11" s="38"/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IFERROR(__xludf.DUMMYFUNCTION("""COMPUTED_VALUE"""),"中国醸造")</f>
        <v>中国醸造</v>
      </c>
      <c r="C12" s="35" t="str">
        <f>IFERROR(__xludf.DUMMYFUNCTION("""COMPUTED_VALUE"""),"中国醸造")</f>
        <v>中国醸造</v>
      </c>
      <c r="D12" s="35"/>
      <c r="E12" s="35" t="str">
        <f>IFERROR(__xludf.DUMMYFUNCTION("""COMPUTED_VALUE"""),"ブレンデッド")</f>
        <v>ブレンデッド</v>
      </c>
      <c r="F12" s="35"/>
      <c r="G12" s="35" t="str">
        <f>IFERROR(__xludf.DUMMYFUNCTION("""COMPUTED_VALUE"""),"戸河内 サケカスクフィニッシュ")</f>
        <v>戸河内 サケカスクフィニッシュ</v>
      </c>
      <c r="H12" s="35"/>
      <c r="I12" s="35"/>
      <c r="J12" s="35"/>
      <c r="K12" s="35"/>
      <c r="L12" s="35"/>
      <c r="M12" s="35"/>
      <c r="N12" s="36">
        <f>IFERROR(__xludf.DUMMYFUNCTION("""COMPUTED_VALUE"""),0.4)</f>
        <v>0.4</v>
      </c>
      <c r="O12" s="35"/>
      <c r="P12" s="37">
        <f>IFERROR(__xludf.DUMMYFUNCTION("""COMPUTED_VALUE"""),1000.0)</f>
        <v>1000</v>
      </c>
      <c r="Q12" s="37">
        <f>IFERROR(__xludf.DUMMYFUNCTION("""COMPUTED_VALUE"""),600.0)</f>
        <v>600</v>
      </c>
      <c r="R12" s="37"/>
      <c r="S12" s="38">
        <f>IFERROR(__xludf.DUMMYFUNCTION("""COMPUTED_VALUE"""),45880.0)</f>
        <v>45880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IFERROR(__xludf.DUMMYFUNCTION("""COMPUTED_VALUE"""),"中国醸造")</f>
        <v>中国醸造</v>
      </c>
      <c r="C13" s="35" t="str">
        <f>IFERROR(__xludf.DUMMYFUNCTION("""COMPUTED_VALUE"""),"中国醸造")</f>
        <v>中国醸造</v>
      </c>
      <c r="D13" s="35"/>
      <c r="E13" s="35" t="str">
        <f>IFERROR(__xludf.DUMMYFUNCTION("""COMPUTED_VALUE"""),"ブレンデッド")</f>
        <v>ブレンデッド</v>
      </c>
      <c r="F13" s="35"/>
      <c r="G13" s="35" t="str">
        <f>IFERROR(__xludf.DUMMYFUNCTION("""COMPUTED_VALUE"""),"戸河内 ブレンデッド")</f>
        <v>戸河内 ブレンデッド</v>
      </c>
      <c r="H13" s="35"/>
      <c r="I13" s="35"/>
      <c r="J13" s="35"/>
      <c r="K13" s="35"/>
      <c r="L13" s="35"/>
      <c r="M13" s="35"/>
      <c r="N13" s="36"/>
      <c r="O13" s="35"/>
      <c r="P13" s="37">
        <f>IFERROR(__xludf.DUMMYFUNCTION("""COMPUTED_VALUE"""),1000.0)</f>
        <v>1000</v>
      </c>
      <c r="Q13" s="37">
        <f>IFERROR(__xludf.DUMMYFUNCTION("""COMPUTED_VALUE"""),600.0)</f>
        <v>600</v>
      </c>
      <c r="R13" s="37"/>
      <c r="S13" s="38"/>
      <c r="T13" s="35"/>
      <c r="U13" s="35"/>
      <c r="V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0.14"/>
    <col customWidth="1" min="3" max="3" width="16.43"/>
    <col customWidth="1" hidden="1" min="4" max="4" width="21.14"/>
    <col customWidth="1" min="5" max="5" width="21.14"/>
    <col customWidth="1" hidden="1" min="6" max="6" width="5.71"/>
    <col customWidth="1" min="7" max="7" width="73.71"/>
    <col customWidth="1" min="8" max="8" width="32.71"/>
    <col customWidth="1" hidden="1" min="9" max="9" width="6.29"/>
    <col customWidth="1" hidden="1" min="10" max="10" width="12.0"/>
    <col customWidth="1" hidden="1" min="11" max="11" width="5.71"/>
    <col customWidth="1" hidden="1" min="12" max="12" width="32.71"/>
    <col customWidth="1" hidden="1" min="13" max="13" width="34.0"/>
    <col customWidth="1" min="14" max="14" width="5.71"/>
    <col customWidth="1" hidden="1" min="15" max="15" width="34.0"/>
    <col customWidth="1" min="16" max="18" width="7.43"/>
    <col customWidth="1" min="19" max="19" width="12.0"/>
    <col customWidth="1" min="20" max="22" width="34.0"/>
  </cols>
  <sheetData>
    <row r="1">
      <c r="A1" s="33" t="s">
        <v>500</v>
      </c>
      <c r="T1" s="33"/>
      <c r="U1" s="33"/>
      <c r="V1" s="33"/>
    </row>
    <row r="2">
      <c r="A2" s="34" t="str">
        <f>IFERROR(__xludf.DUMMYFUNCTION("QUERY('全ウイスキー'!A:S, ""SELECT * WHERE B contains '堅展実業'"")"),"国")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IFERROR(__xludf.DUMMYFUNCTION("""COMPUTED_VALUE"""),"堅展実業")</f>
        <v>堅展実業</v>
      </c>
      <c r="C3" s="35" t="str">
        <f>IFERROR(__xludf.DUMMYFUNCTION("""COMPUTED_VALUE"""),"堅展実業")</f>
        <v>堅展実業</v>
      </c>
      <c r="D3" s="35" t="str">
        <f>IFERROR(__xludf.DUMMYFUNCTION("""COMPUTED_VALUE"""),"厚岸")</f>
        <v>厚岸</v>
      </c>
      <c r="E3" s="35" t="str">
        <f>IFERROR(__xludf.DUMMYFUNCTION("""COMPUTED_VALUE"""),"シングルカスク")</f>
        <v>シングルカスク</v>
      </c>
      <c r="F3" s="35" t="str">
        <f>IFERROR(__xludf.DUMMYFUNCTION("""COMPUTED_VALUE"""),"#607")</f>
        <v>#607</v>
      </c>
      <c r="G3" s="35" t="str">
        <f>IFERROR(__xludf.DUMMYFUNCTION("""COMPUTED_VALUE"""),"厚岸 5年 ヘビリーピーテッド")</f>
        <v>厚岸 5年 ヘビリーピーテッド</v>
      </c>
      <c r="H3" s="35" t="str">
        <f>IFERROR(__xludf.DUMMYFUNCTION("""COMPUTED_VALUE"""),"for BAR fishborn")</f>
        <v>for BAR fishborn</v>
      </c>
      <c r="I3" s="35"/>
      <c r="J3" s="35"/>
      <c r="K3" s="35"/>
      <c r="L3" s="35"/>
      <c r="M3" s="35"/>
      <c r="N3" s="36"/>
      <c r="O3" s="35"/>
      <c r="P3" s="37"/>
      <c r="Q3" s="37"/>
      <c r="R3" s="37">
        <f>IFERROR(__xludf.DUMMYFUNCTION("""COMPUTED_VALUE"""),2800.0)</f>
        <v>2800</v>
      </c>
      <c r="S3" s="38">
        <f>IFERROR(__xludf.DUMMYFUNCTION("""COMPUTED_VALUE"""),44979.0)</f>
        <v>44979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IFERROR(__xludf.DUMMYFUNCTION("""COMPUTED_VALUE"""),"堅展実業")</f>
        <v>堅展実業</v>
      </c>
      <c r="C4" s="35" t="str">
        <f>IFERROR(__xludf.DUMMYFUNCTION("""COMPUTED_VALUE"""),"堅展実業")</f>
        <v>堅展実業</v>
      </c>
      <c r="D4" s="35" t="str">
        <f>IFERROR(__xludf.DUMMYFUNCTION("""COMPUTED_VALUE"""),"厚岸")</f>
        <v>厚岸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IFERROR(__xludf.DUMMYFUNCTION("""COMPUTED_VALUE"""),"厚岸 サロルンカムイ")</f>
        <v>厚岸 サロルンカムイ</v>
      </c>
      <c r="H4" s="35"/>
      <c r="I4" s="35"/>
      <c r="J4" s="35"/>
      <c r="K4" s="35"/>
      <c r="L4" s="35"/>
      <c r="M4" s="35"/>
      <c r="N4" s="36"/>
      <c r="O4" s="35"/>
      <c r="P4" s="37">
        <f>IFERROR(__xludf.DUMMYFUNCTION("""COMPUTED_VALUE"""),3000.0)</f>
        <v>3000</v>
      </c>
      <c r="Q4" s="37">
        <f>IFERROR(__xludf.DUMMYFUNCTION("""COMPUTED_VALUE"""),1600.0)</f>
        <v>1600</v>
      </c>
      <c r="R4" s="37"/>
      <c r="S4" s="38"/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IFERROR(__xludf.DUMMYFUNCTION("""COMPUTED_VALUE"""),"堅展実業")</f>
        <v>堅展実業</v>
      </c>
      <c r="C5" s="35" t="str">
        <f>IFERROR(__xludf.DUMMYFUNCTION("""COMPUTED_VALUE"""),"堅展実業")</f>
        <v>堅展実業</v>
      </c>
      <c r="D5" s="35" t="str">
        <f>IFERROR(__xludf.DUMMYFUNCTION("""COMPUTED_VALUE"""),"厚岸")</f>
        <v>厚岸</v>
      </c>
      <c r="E5" s="35" t="str">
        <f>IFERROR(__xludf.DUMMYFUNCTION("""COMPUTED_VALUE"""),"ブレンデッド")</f>
        <v>ブレンデッド</v>
      </c>
      <c r="F5" s="35"/>
      <c r="G5" s="35" t="str">
        <f>IFERROR(__xludf.DUMMYFUNCTION("""COMPUTED_VALUE"""),"厚岸 #2 雨水")</f>
        <v>厚岸 #2 雨水</v>
      </c>
      <c r="H5" s="35" t="str">
        <f>IFERROR(__xludf.DUMMYFUNCTION("""COMPUTED_VALUE"""),"二十四節季シリーズ")</f>
        <v>二十四節季シリーズ</v>
      </c>
      <c r="I5" s="35"/>
      <c r="J5" s="35"/>
      <c r="K5" s="35"/>
      <c r="L5" s="35"/>
      <c r="M5" s="35"/>
      <c r="N5" s="36"/>
      <c r="O5" s="35"/>
      <c r="P5" s="37">
        <f>IFERROR(__xludf.DUMMYFUNCTION("""COMPUTED_VALUE"""),2000.0)</f>
        <v>2000</v>
      </c>
      <c r="Q5" s="37">
        <f>IFERROR(__xludf.DUMMYFUNCTION("""COMPUTED_VALUE"""),1100.0)</f>
        <v>1100</v>
      </c>
      <c r="R5" s="37"/>
      <c r="S5" s="38">
        <f>IFERROR(__xludf.DUMMYFUNCTION("""COMPUTED_VALUE"""),44978.0)</f>
        <v>44978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IFERROR(__xludf.DUMMYFUNCTION("""COMPUTED_VALUE"""),"堅展実業")</f>
        <v>堅展実業</v>
      </c>
      <c r="C6" s="35" t="str">
        <f>IFERROR(__xludf.DUMMYFUNCTION("""COMPUTED_VALUE"""),"堅展実業")</f>
        <v>堅展実業</v>
      </c>
      <c r="D6" s="35" t="str">
        <f>IFERROR(__xludf.DUMMYFUNCTION("""COMPUTED_VALUE"""),"厚岸")</f>
        <v>厚岸</v>
      </c>
      <c r="E6" s="35" t="str">
        <f>IFERROR(__xludf.DUMMYFUNCTION("""COMPUTED_VALUE"""),"ブレンデッド")</f>
        <v>ブレンデッド</v>
      </c>
      <c r="F6" s="35"/>
      <c r="G6" s="35" t="str">
        <f>IFERROR(__xludf.DUMMYFUNCTION("""COMPUTED_VALUE"""),"厚岸 #4 処暑")</f>
        <v>厚岸 #4 処暑</v>
      </c>
      <c r="H6" s="35" t="str">
        <f>IFERROR(__xludf.DUMMYFUNCTION("""COMPUTED_VALUE"""),"二十四節季シリーズ")</f>
        <v>二十四節季シリーズ</v>
      </c>
      <c r="I6" s="35"/>
      <c r="J6" s="35"/>
      <c r="K6" s="35"/>
      <c r="L6" s="35"/>
      <c r="M6" s="35"/>
      <c r="N6" s="36"/>
      <c r="O6" s="35"/>
      <c r="P6" s="37">
        <f>IFERROR(__xludf.DUMMYFUNCTION("""COMPUTED_VALUE"""),2000.0)</f>
        <v>2000</v>
      </c>
      <c r="Q6" s="37">
        <f>IFERROR(__xludf.DUMMYFUNCTION("""COMPUTED_VALUE"""),1100.0)</f>
        <v>1100</v>
      </c>
      <c r="R6" s="37"/>
      <c r="S6" s="38"/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IFERROR(__xludf.DUMMYFUNCTION("""COMPUTED_VALUE"""),"堅展実業")</f>
        <v>堅展実業</v>
      </c>
      <c r="C7" s="35" t="str">
        <f>IFERROR(__xludf.DUMMYFUNCTION("""COMPUTED_VALUE"""),"堅展実業")</f>
        <v>堅展実業</v>
      </c>
      <c r="D7" s="35" t="str">
        <f>IFERROR(__xludf.DUMMYFUNCTION("""COMPUTED_VALUE"""),"厚岸")</f>
        <v>厚岸</v>
      </c>
      <c r="E7" s="35" t="str">
        <f>IFERROR(__xludf.DUMMYFUNCTION("""COMPUTED_VALUE"""),"ブレンデッド")</f>
        <v>ブレンデッド</v>
      </c>
      <c r="F7" s="35"/>
      <c r="G7" s="35" t="str">
        <f>IFERROR(__xludf.DUMMYFUNCTION("""COMPUTED_VALUE"""),"厚岸 #6 大寒")</f>
        <v>厚岸 #6 大寒</v>
      </c>
      <c r="H7" s="35" t="str">
        <f>IFERROR(__xludf.DUMMYFUNCTION("""COMPUTED_VALUE"""),"二十四節季シリーズ")</f>
        <v>二十四節季シリーズ</v>
      </c>
      <c r="I7" s="35"/>
      <c r="J7" s="35"/>
      <c r="K7" s="35"/>
      <c r="L7" s="35"/>
      <c r="M7" s="35"/>
      <c r="N7" s="36"/>
      <c r="O7" s="35"/>
      <c r="P7" s="37">
        <f>IFERROR(__xludf.DUMMYFUNCTION("""COMPUTED_VALUE"""),2200.0)</f>
        <v>2200</v>
      </c>
      <c r="Q7" s="37">
        <f>IFERROR(__xludf.DUMMYFUNCTION("""COMPUTED_VALUE"""),1200.0)</f>
        <v>1200</v>
      </c>
      <c r="R7" s="37"/>
      <c r="S7" s="38">
        <f>IFERROR(__xludf.DUMMYFUNCTION("""COMPUTED_VALUE"""),44810.0)</f>
        <v>44810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IFERROR(__xludf.DUMMYFUNCTION("""COMPUTED_VALUE"""),"堅展実業")</f>
        <v>堅展実業</v>
      </c>
      <c r="C8" s="35" t="str">
        <f>IFERROR(__xludf.DUMMYFUNCTION("""COMPUTED_VALUE"""),"堅展実業")</f>
        <v>堅展実業</v>
      </c>
      <c r="D8" s="35" t="str">
        <f>IFERROR(__xludf.DUMMYFUNCTION("""COMPUTED_VALUE"""),"厚岸")</f>
        <v>厚岸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IFERROR(__xludf.DUMMYFUNCTION("""COMPUTED_VALUE"""),"厚岸 #7 清明")</f>
        <v>厚岸 #7 清明</v>
      </c>
      <c r="H8" s="35" t="str">
        <f>IFERROR(__xludf.DUMMYFUNCTION("""COMPUTED_VALUE"""),"二十四節季シリーズ")</f>
        <v>二十四節季シリーズ</v>
      </c>
      <c r="I8" s="35"/>
      <c r="J8" s="35"/>
      <c r="K8" s="35"/>
      <c r="L8" s="35"/>
      <c r="M8" s="35"/>
      <c r="N8" s="36"/>
      <c r="O8" s="35"/>
      <c r="P8" s="37">
        <f>IFERROR(__xludf.DUMMYFUNCTION("""COMPUTED_VALUE"""),3000.0)</f>
        <v>3000</v>
      </c>
      <c r="Q8" s="37">
        <f>IFERROR(__xludf.DUMMYFUNCTION("""COMPUTED_VALUE"""),1600.0)</f>
        <v>1600</v>
      </c>
      <c r="R8" s="37"/>
      <c r="S8" s="38"/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IFERROR(__xludf.DUMMYFUNCTION("""COMPUTED_VALUE"""),"堅展実業")</f>
        <v>堅展実業</v>
      </c>
      <c r="C9" s="35" t="str">
        <f>IFERROR(__xludf.DUMMYFUNCTION("""COMPUTED_VALUE"""),"堅展実業")</f>
        <v>堅展実業</v>
      </c>
      <c r="D9" s="35" t="str">
        <f>IFERROR(__xludf.DUMMYFUNCTION("""COMPUTED_VALUE"""),"厚岸")</f>
        <v>厚岸</v>
      </c>
      <c r="E9" s="35" t="str">
        <f>IFERROR(__xludf.DUMMYFUNCTION("""COMPUTED_VALUE"""),"ブレンデッド")</f>
        <v>ブレンデッド</v>
      </c>
      <c r="F9" s="35"/>
      <c r="G9" s="35" t="str">
        <f>IFERROR(__xludf.DUMMYFUNCTION("""COMPUTED_VALUE"""),"厚岸 #8 大暑")</f>
        <v>厚岸 #8 大暑</v>
      </c>
      <c r="H9" s="35" t="str">
        <f>IFERROR(__xludf.DUMMYFUNCTION("""COMPUTED_VALUE"""),"二十四節季シリーズ")</f>
        <v>二十四節季シリーズ</v>
      </c>
      <c r="I9" s="35"/>
      <c r="J9" s="35"/>
      <c r="K9" s="35"/>
      <c r="L9" s="35"/>
      <c r="M9" s="35"/>
      <c r="N9" s="36"/>
      <c r="O9" s="35"/>
      <c r="P9" s="37">
        <f>IFERROR(__xludf.DUMMYFUNCTION("""COMPUTED_VALUE"""),2200.0)</f>
        <v>2200</v>
      </c>
      <c r="Q9" s="37">
        <f>IFERROR(__xludf.DUMMYFUNCTION("""COMPUTED_VALUE"""),1200.0)</f>
        <v>1200</v>
      </c>
      <c r="R9" s="37"/>
      <c r="S9" s="38">
        <f>IFERROR(__xludf.DUMMYFUNCTION("""COMPUTED_VALUE"""),44804.0)</f>
        <v>44804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IFERROR(__xludf.DUMMYFUNCTION("""COMPUTED_VALUE"""),"堅展実業")</f>
        <v>堅展実業</v>
      </c>
      <c r="C10" s="35" t="str">
        <f>IFERROR(__xludf.DUMMYFUNCTION("""COMPUTED_VALUE"""),"堅展実業")</f>
        <v>堅展実業</v>
      </c>
      <c r="D10" s="35" t="str">
        <f>IFERROR(__xludf.DUMMYFUNCTION("""COMPUTED_VALUE"""),"厚岸")</f>
        <v>厚岸</v>
      </c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IFERROR(__xludf.DUMMYFUNCTION("""COMPUTED_VALUE"""),"厚岸 #9 大雪")</f>
        <v>厚岸 #9 大雪</v>
      </c>
      <c r="H10" s="35" t="str">
        <f>IFERROR(__xludf.DUMMYFUNCTION("""COMPUTED_VALUE"""),"二十四節季シリーズ")</f>
        <v>二十四節季シリーズ</v>
      </c>
      <c r="I10" s="35"/>
      <c r="J10" s="35"/>
      <c r="K10" s="35"/>
      <c r="L10" s="35"/>
      <c r="M10" s="35"/>
      <c r="N10" s="36"/>
      <c r="O10" s="35"/>
      <c r="P10" s="37">
        <f>IFERROR(__xludf.DUMMYFUNCTION("""COMPUTED_VALUE"""),3000.0)</f>
        <v>3000</v>
      </c>
      <c r="Q10" s="37">
        <f>IFERROR(__xludf.DUMMYFUNCTION("""COMPUTED_VALUE"""),1600.0)</f>
        <v>1600</v>
      </c>
      <c r="R10" s="37"/>
      <c r="S10" s="38">
        <f>IFERROR(__xludf.DUMMYFUNCTION("""COMPUTED_VALUE"""),44898.0)</f>
        <v>44898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IFERROR(__xludf.DUMMYFUNCTION("""COMPUTED_VALUE"""),"堅展実業")</f>
        <v>堅展実業</v>
      </c>
      <c r="C11" s="35" t="str">
        <f>IFERROR(__xludf.DUMMYFUNCTION("""COMPUTED_VALUE"""),"堅展実業")</f>
        <v>堅展実業</v>
      </c>
      <c r="D11" s="35" t="str">
        <f>IFERROR(__xludf.DUMMYFUNCTION("""COMPUTED_VALUE"""),"厚岸")</f>
        <v>厚岸</v>
      </c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IFERROR(__xludf.DUMMYFUNCTION("""COMPUTED_VALUE"""),"厚岸 #10 啓蟄")</f>
        <v>厚岸 #10 啓蟄</v>
      </c>
      <c r="H11" s="35" t="str">
        <f>IFERROR(__xludf.DUMMYFUNCTION("""COMPUTED_VALUE"""),"二十四節季シリーズ")</f>
        <v>二十四節季シリーズ</v>
      </c>
      <c r="I11" s="35"/>
      <c r="J11" s="35"/>
      <c r="K11" s="35"/>
      <c r="L11" s="35"/>
      <c r="M11" s="35"/>
      <c r="N11" s="36"/>
      <c r="O11" s="35"/>
      <c r="P11" s="37">
        <f>IFERROR(__xludf.DUMMYFUNCTION("""COMPUTED_VALUE"""),3000.0)</f>
        <v>3000</v>
      </c>
      <c r="Q11" s="37">
        <f>IFERROR(__xludf.DUMMYFUNCTION("""COMPUTED_VALUE"""),1600.0)</f>
        <v>1600</v>
      </c>
      <c r="R11" s="37"/>
      <c r="S11" s="38">
        <f>IFERROR(__xludf.DUMMYFUNCTION("""COMPUTED_VALUE"""),44987.0)</f>
        <v>44987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IFERROR(__xludf.DUMMYFUNCTION("""COMPUTED_VALUE"""),"堅展実業")</f>
        <v>堅展実業</v>
      </c>
      <c r="C12" s="35" t="str">
        <f>IFERROR(__xludf.DUMMYFUNCTION("""COMPUTED_VALUE"""),"堅展実業")</f>
        <v>堅展実業</v>
      </c>
      <c r="D12" s="35" t="str">
        <f>IFERROR(__xludf.DUMMYFUNCTION("""COMPUTED_VALUE"""),"厚岸")</f>
        <v>厚岸</v>
      </c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IFERROR(__xludf.DUMMYFUNCTION("""COMPUTED_VALUE"""),"厚岸 #12 白露")</f>
        <v>厚岸 #12 白露</v>
      </c>
      <c r="H12" s="35" t="str">
        <f>IFERROR(__xludf.DUMMYFUNCTION("""COMPUTED_VALUE"""),"二十四節季シリーズ")</f>
        <v>二十四節季シリーズ</v>
      </c>
      <c r="I12" s="35"/>
      <c r="J12" s="35"/>
      <c r="K12" s="35"/>
      <c r="L12" s="35"/>
      <c r="M12" s="35"/>
      <c r="N12" s="36"/>
      <c r="O12" s="35"/>
      <c r="P12" s="37">
        <f>IFERROR(__xludf.DUMMYFUNCTION("""COMPUTED_VALUE"""),3000.0)</f>
        <v>3000</v>
      </c>
      <c r="Q12" s="37">
        <f>IFERROR(__xludf.DUMMYFUNCTION("""COMPUTED_VALUE"""),1600.0)</f>
        <v>1600</v>
      </c>
      <c r="R12" s="37"/>
      <c r="S12" s="38">
        <f>IFERROR(__xludf.DUMMYFUNCTION("""COMPUTED_VALUE"""),45169.0)</f>
        <v>45169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IFERROR(__xludf.DUMMYFUNCTION("""COMPUTED_VALUE"""),"堅展実業")</f>
        <v>堅展実業</v>
      </c>
      <c r="C13" s="35" t="str">
        <f>IFERROR(__xludf.DUMMYFUNCTION("""COMPUTED_VALUE"""),"堅展実業")</f>
        <v>堅展実業</v>
      </c>
      <c r="D13" s="35" t="str">
        <f>IFERROR(__xludf.DUMMYFUNCTION("""COMPUTED_VALUE"""),"厚岸")</f>
        <v>厚岸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IFERROR(__xludf.DUMMYFUNCTION("""COMPUTED_VALUE"""),"厚岸 #14 立春")</f>
        <v>厚岸 #14 立春</v>
      </c>
      <c r="H13" s="35" t="str">
        <f>IFERROR(__xludf.DUMMYFUNCTION("""COMPUTED_VALUE"""),"二十四節季シリーズ")</f>
        <v>二十四節季シリーズ</v>
      </c>
      <c r="I13" s="35"/>
      <c r="J13" s="35"/>
      <c r="K13" s="35"/>
      <c r="L13" s="35"/>
      <c r="M13" s="35"/>
      <c r="N13" s="36"/>
      <c r="O13" s="35"/>
      <c r="P13" s="37">
        <f>IFERROR(__xludf.DUMMYFUNCTION("""COMPUTED_VALUE"""),3000.0)</f>
        <v>3000</v>
      </c>
      <c r="Q13" s="37">
        <f>IFERROR(__xludf.DUMMYFUNCTION("""COMPUTED_VALUE"""),1600.0)</f>
        <v>1600</v>
      </c>
      <c r="R13" s="37"/>
      <c r="S13" s="38">
        <f>IFERROR(__xludf.DUMMYFUNCTION("""COMPUTED_VALUE"""),45357.0)</f>
        <v>45357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IFERROR(__xludf.DUMMYFUNCTION("""COMPUTED_VALUE"""),"堅展実業")</f>
        <v>堅展実業</v>
      </c>
      <c r="C14" s="35" t="str">
        <f>IFERROR(__xludf.DUMMYFUNCTION("""COMPUTED_VALUE"""),"堅展実業")</f>
        <v>堅展実業</v>
      </c>
      <c r="D14" s="35" t="str">
        <f>IFERROR(__xludf.DUMMYFUNCTION("""COMPUTED_VALUE"""),"厚岸")</f>
        <v>厚岸</v>
      </c>
      <c r="E14" s="35" t="str">
        <f>IFERROR(__xludf.DUMMYFUNCTION("""COMPUTED_VALUE"""),"シングルモルト")</f>
        <v>シングルモルト</v>
      </c>
      <c r="F14" s="35"/>
      <c r="G14" s="35" t="str">
        <f>IFERROR(__xludf.DUMMYFUNCTION("""COMPUTED_VALUE"""),"厚岸 #16 小暑")</f>
        <v>厚岸 #16 小暑</v>
      </c>
      <c r="H14" s="35" t="str">
        <f>IFERROR(__xludf.DUMMYFUNCTION("""COMPUTED_VALUE"""),"二十四節季シリーズ")</f>
        <v>二十四節季シリーズ</v>
      </c>
      <c r="I14" s="35"/>
      <c r="J14" s="35"/>
      <c r="K14" s="35"/>
      <c r="L14" s="35"/>
      <c r="M14" s="35"/>
      <c r="N14" s="36"/>
      <c r="O14" s="35"/>
      <c r="P14" s="37">
        <f>IFERROR(__xludf.DUMMYFUNCTION("""COMPUTED_VALUE"""),3000.0)</f>
        <v>3000</v>
      </c>
      <c r="Q14" s="37">
        <f>IFERROR(__xludf.DUMMYFUNCTION("""COMPUTED_VALUE"""),1600.0)</f>
        <v>1600</v>
      </c>
      <c r="R14" s="37"/>
      <c r="S14" s="38">
        <f>IFERROR(__xludf.DUMMYFUNCTION("""COMPUTED_VALUE"""),45539.0)</f>
        <v>45539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IFERROR(__xludf.DUMMYFUNCTION("""COMPUTED_VALUE"""),"堅展実業")</f>
        <v>堅展実業</v>
      </c>
      <c r="C15" s="35" t="str">
        <f>IFERROR(__xludf.DUMMYFUNCTION("""COMPUTED_VALUE"""),"堅展実業")</f>
        <v>堅展実業</v>
      </c>
      <c r="D15" s="35" t="str">
        <f>IFERROR(__xludf.DUMMYFUNCTION("""COMPUTED_VALUE"""),"厚岸")</f>
        <v>厚岸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IFERROR(__xludf.DUMMYFUNCTION("""COMPUTED_VALUE"""),"厚岸 #19 立夏")</f>
        <v>厚岸 #19 立夏</v>
      </c>
      <c r="H15" s="35" t="str">
        <f>IFERROR(__xludf.DUMMYFUNCTION("""COMPUTED_VALUE"""),"二十四節季シリーズ")</f>
        <v>二十四節季シリーズ</v>
      </c>
      <c r="I15" s="35"/>
      <c r="J15" s="35"/>
      <c r="K15" s="35"/>
      <c r="L15" s="35"/>
      <c r="M15" s="35"/>
      <c r="N15" s="36"/>
      <c r="O15" s="35"/>
      <c r="P15" s="37">
        <f>IFERROR(__xludf.DUMMYFUNCTION("""COMPUTED_VALUE"""),3000.0)</f>
        <v>3000</v>
      </c>
      <c r="Q15" s="37">
        <f>IFERROR(__xludf.DUMMYFUNCTION("""COMPUTED_VALUE"""),1600.0)</f>
        <v>1600</v>
      </c>
      <c r="R15" s="37"/>
      <c r="S15" s="38"/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IFERROR(__xludf.DUMMYFUNCTION("""COMPUTED_VALUE"""),"堅展実業")</f>
        <v>堅展実業</v>
      </c>
      <c r="C16" s="35" t="str">
        <f>IFERROR(__xludf.DUMMYFUNCTION("""COMPUTED_VALUE"""),"堅展実業")</f>
        <v>堅展実業</v>
      </c>
      <c r="D16" s="35" t="str">
        <f>IFERROR(__xludf.DUMMYFUNCTION("""COMPUTED_VALUE"""),"厚岸")</f>
        <v>厚岸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IFERROR(__xludf.DUMMYFUNCTION("""COMPUTED_VALUE"""),"厚岸 #20 立秋")</f>
        <v>厚岸 #20 立秋</v>
      </c>
      <c r="H16" s="35" t="str">
        <f>IFERROR(__xludf.DUMMYFUNCTION("""COMPUTED_VALUE"""),"二十四節季シリーズ")</f>
        <v>二十四節季シリーズ</v>
      </c>
      <c r="I16" s="35"/>
      <c r="J16" s="35"/>
      <c r="K16" s="35"/>
      <c r="L16" s="35"/>
      <c r="M16" s="35"/>
      <c r="N16" s="36">
        <f>IFERROR(__xludf.DUMMYFUNCTION("""COMPUTED_VALUE"""),0.55)</f>
        <v>0.55</v>
      </c>
      <c r="O16" s="35"/>
      <c r="P16" s="37">
        <f>IFERROR(__xludf.DUMMYFUNCTION("""COMPUTED_VALUE"""),3000.0)</f>
        <v>3000</v>
      </c>
      <c r="Q16" s="37">
        <f>IFERROR(__xludf.DUMMYFUNCTION("""COMPUTED_VALUE"""),1600.0)</f>
        <v>1600</v>
      </c>
      <c r="R16" s="37"/>
      <c r="S16" s="38">
        <f>IFERROR(__xludf.DUMMYFUNCTION("""COMPUTED_VALUE"""),45903.0)</f>
        <v>45903</v>
      </c>
      <c r="T16" s="35"/>
      <c r="U16" s="35"/>
      <c r="V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hidden="1" min="2" max="2" width="16.71"/>
    <col customWidth="1" min="3" max="3" width="16.71"/>
    <col customWidth="1" hidden="1" min="4" max="4" width="21.14"/>
    <col customWidth="1" min="5" max="5" width="21.14"/>
    <col customWidth="1" hidden="1" min="6" max="6" width="5.71"/>
    <col customWidth="1" min="7" max="7" width="59.14"/>
    <col customWidth="1" min="8" max="8" width="31.0"/>
    <col customWidth="1" hidden="1" min="9" max="9" width="6.29"/>
    <col customWidth="1" hidden="1" min="10" max="10" width="12.0"/>
    <col customWidth="1" hidden="1" min="11" max="11" width="5.71"/>
    <col customWidth="1" hidden="1" min="12" max="12" width="31.0"/>
    <col customWidth="1" hidden="1" min="13" max="13" width="31.71"/>
    <col customWidth="1" min="14" max="14" width="5.71"/>
    <col customWidth="1" hidden="1" min="15" max="15" width="31.71"/>
    <col customWidth="1" min="16" max="18" width="7.43"/>
    <col customWidth="1" min="19" max="19" width="12.0"/>
    <col customWidth="1" min="20" max="22" width="31.71"/>
  </cols>
  <sheetData>
    <row r="1">
      <c r="A1" s="33" t="s">
        <v>713</v>
      </c>
      <c r="T1" s="33"/>
      <c r="U1" s="33"/>
      <c r="V1" s="33"/>
    </row>
    <row r="2">
      <c r="A2" s="34" t="str">
        <f>IFERROR(__xludf.DUMMYFUNCTION("QUERY('全ウイスキー'!A:S, ""SELECT * WHERE A contains 'JP' AND NOT B CONTAINS 'サントリー' AND NOT B CONTAINS 'ニッカ' AND NOT B CONTAINS 'キリン' AND NOT B CONTAINS 'ベンチャー' AND NOT B CONTAINS 'マルス' AND NOT B CONTAINS 'ガイアフロー' AND NOT B CONTAINS 'サクラオB&amp;D' AND NOT B CONTAI"&amp;"NS '堅展実業' AND NOT B CONTAINS '中国醸造'"")"),"国")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IFERROR(__xludf.DUMMYFUNCTION("""COMPUTED_VALUE"""),"金龍")</f>
        <v>金龍</v>
      </c>
      <c r="C3" s="35" t="str">
        <f>IFERROR(__xludf.DUMMYFUNCTION("""COMPUTED_VALUE"""),"金龍")</f>
        <v>金龍</v>
      </c>
      <c r="D3" s="35" t="str">
        <f>IFERROR(__xludf.DUMMYFUNCTION("""COMPUTED_VALUE"""),"遊佐")</f>
        <v>遊佐</v>
      </c>
      <c r="E3" s="35" t="str">
        <f>IFERROR(__xludf.DUMMYFUNCTION("""COMPUTED_VALUE"""),"シングルモルト")</f>
        <v>シングルモルト</v>
      </c>
      <c r="F3" s="35"/>
      <c r="G3" s="35" t="str">
        <f>IFERROR(__xludf.DUMMYFUNCTION("""COMPUTED_VALUE"""),"遊佐 2024")</f>
        <v>遊佐 2024</v>
      </c>
      <c r="H3" s="35"/>
      <c r="I3" s="35"/>
      <c r="J3" s="35"/>
      <c r="K3" s="35"/>
      <c r="L3" s="35" t="str">
        <f>IFERROR(__xludf.DUMMYFUNCTION("""COMPUTED_VALUE"""),"✓")</f>
        <v>✓</v>
      </c>
      <c r="M3" s="35"/>
      <c r="N3" s="36"/>
      <c r="O3" s="35"/>
      <c r="P3" s="37">
        <f>IFERROR(__xludf.DUMMYFUNCTION("""COMPUTED_VALUE"""),2200.0)</f>
        <v>2200</v>
      </c>
      <c r="Q3" s="37">
        <f>IFERROR(__xludf.DUMMYFUNCTION("""COMPUTED_VALUE"""),1200.0)</f>
        <v>1200</v>
      </c>
      <c r="R3" s="37"/>
      <c r="S3" s="38">
        <f>IFERROR(__xludf.DUMMYFUNCTION("""COMPUTED_VALUE"""),45511.0)</f>
        <v>45511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IFERROR(__xludf.DUMMYFUNCTION("""COMPUTED_VALUE"""),"金龍")</f>
        <v>金龍</v>
      </c>
      <c r="C4" s="35" t="str">
        <f>IFERROR(__xludf.DUMMYFUNCTION("""COMPUTED_VALUE"""),"金龍")</f>
        <v>金龍</v>
      </c>
      <c r="D4" s="35" t="str">
        <f>IFERROR(__xludf.DUMMYFUNCTION("""COMPUTED_VALUE"""),"遊佐")</f>
        <v>遊佐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IFERROR(__xludf.DUMMYFUNCTION("""COMPUTED_VALUE"""),"遊佐 ファーストエディション 2022")</f>
        <v>遊佐 ファーストエディション 2022</v>
      </c>
      <c r="H4" s="35"/>
      <c r="I4" s="35"/>
      <c r="J4" s="35"/>
      <c r="K4" s="35"/>
      <c r="L4" s="35"/>
      <c r="M4" s="35"/>
      <c r="N4" s="36"/>
      <c r="O4" s="35"/>
      <c r="P4" s="37">
        <f>IFERROR(__xludf.DUMMYFUNCTION("""COMPUTED_VALUE"""),2800.0)</f>
        <v>2800</v>
      </c>
      <c r="Q4" s="37">
        <f>IFERROR(__xludf.DUMMYFUNCTION("""COMPUTED_VALUE"""),1500.0)</f>
        <v>1500</v>
      </c>
      <c r="R4" s="37"/>
      <c r="S4" s="38"/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IFERROR(__xludf.DUMMYFUNCTION("""COMPUTED_VALUE"""),"金龍")</f>
        <v>金龍</v>
      </c>
      <c r="C5" s="35" t="str">
        <f>IFERROR(__xludf.DUMMYFUNCTION("""COMPUTED_VALUE"""),"金龍")</f>
        <v>金龍</v>
      </c>
      <c r="D5" s="35" t="str">
        <f>IFERROR(__xludf.DUMMYFUNCTION("""COMPUTED_VALUE"""),"遊佐")</f>
        <v>遊佐</v>
      </c>
      <c r="E5" s="35" t="str">
        <f>IFERROR(__xludf.DUMMYFUNCTION("""COMPUTED_VALUE"""),"シングルモルト")</f>
        <v>シングルモルト</v>
      </c>
      <c r="F5" s="35"/>
      <c r="G5" s="35" t="str">
        <f>IFERROR(__xludf.DUMMYFUNCTION("""COMPUTED_VALUE"""),"遊佐 セカンドエディション 2022")</f>
        <v>遊佐 セカンドエディション 2022</v>
      </c>
      <c r="H5" s="35"/>
      <c r="I5" s="35"/>
      <c r="J5" s="35"/>
      <c r="K5" s="35"/>
      <c r="L5" s="35"/>
      <c r="M5" s="35"/>
      <c r="N5" s="36"/>
      <c r="O5" s="35"/>
      <c r="P5" s="37">
        <f>IFERROR(__xludf.DUMMYFUNCTION("""COMPUTED_VALUE"""),2800.0)</f>
        <v>2800</v>
      </c>
      <c r="Q5" s="37">
        <f>IFERROR(__xludf.DUMMYFUNCTION("""COMPUTED_VALUE"""),1500.0)</f>
        <v>1500</v>
      </c>
      <c r="R5" s="37"/>
      <c r="S5" s="38"/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IFERROR(__xludf.DUMMYFUNCTION("""COMPUTED_VALUE"""),"若鶴")</f>
        <v>若鶴</v>
      </c>
      <c r="C6" s="35" t="str">
        <f>IFERROR(__xludf.DUMMYFUNCTION("""COMPUTED_VALUE"""),"若鶴")</f>
        <v>若鶴</v>
      </c>
      <c r="D6" s="35" t="str">
        <f>IFERROR(__xludf.DUMMYFUNCTION("""COMPUTED_VALUE"""),"三郎丸")</f>
        <v>三郎丸</v>
      </c>
      <c r="E6" s="35" t="str">
        <f>IFERROR(__xludf.DUMMYFUNCTION("""COMPUTED_VALUE"""),"シングルモルト")</f>
        <v>シングルモルト</v>
      </c>
      <c r="F6" s="35"/>
      <c r="G6" s="35" t="str">
        <f>IFERROR(__xludf.DUMMYFUNCTION("""COMPUTED_VALUE"""),"三郎丸 0")</f>
        <v>三郎丸 0</v>
      </c>
      <c r="H6" s="35"/>
      <c r="I6" s="35"/>
      <c r="J6" s="35"/>
      <c r="K6" s="35"/>
      <c r="L6" s="35"/>
      <c r="M6" s="35"/>
      <c r="N6" s="36"/>
      <c r="O6" s="35"/>
      <c r="P6" s="37">
        <f>IFERROR(__xludf.DUMMYFUNCTION("""COMPUTED_VALUE"""),2400.0)</f>
        <v>2400</v>
      </c>
      <c r="Q6" s="37">
        <f>IFERROR(__xludf.DUMMYFUNCTION("""COMPUTED_VALUE"""),1300.0)</f>
        <v>1300</v>
      </c>
      <c r="R6" s="37"/>
      <c r="S6" s="38">
        <f>IFERROR(__xludf.DUMMYFUNCTION("""COMPUTED_VALUE"""),44918.0)</f>
        <v>44918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IFERROR(__xludf.DUMMYFUNCTION("""COMPUTED_VALUE"""),"若鶴")</f>
        <v>若鶴</v>
      </c>
      <c r="C7" s="35" t="str">
        <f>IFERROR(__xludf.DUMMYFUNCTION("""COMPUTED_VALUE"""),"若鶴")</f>
        <v>若鶴</v>
      </c>
      <c r="D7" s="35" t="str">
        <f>IFERROR(__xludf.DUMMYFUNCTION("""COMPUTED_VALUE"""),"三郎丸")</f>
        <v>三郎丸</v>
      </c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IFERROR(__xludf.DUMMYFUNCTION("""COMPUTED_VALUE"""),"三郎丸 1")</f>
        <v>三郎丸 1</v>
      </c>
      <c r="H7" s="35"/>
      <c r="I7" s="35"/>
      <c r="J7" s="35"/>
      <c r="K7" s="35"/>
      <c r="L7" s="35"/>
      <c r="M7" s="35"/>
      <c r="N7" s="36"/>
      <c r="O7" s="35"/>
      <c r="P7" s="37">
        <f>IFERROR(__xludf.DUMMYFUNCTION("""COMPUTED_VALUE"""),2600.0)</f>
        <v>2600</v>
      </c>
      <c r="Q7" s="37">
        <f>IFERROR(__xludf.DUMMYFUNCTION("""COMPUTED_VALUE"""),1400.0)</f>
        <v>1400</v>
      </c>
      <c r="R7" s="37"/>
      <c r="S7" s="38">
        <f>IFERROR(__xludf.DUMMYFUNCTION("""COMPUTED_VALUE"""),44924.0)</f>
        <v>44924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IFERROR(__xludf.DUMMYFUNCTION("""COMPUTED_VALUE"""),"若鶴")</f>
        <v>若鶴</v>
      </c>
      <c r="C8" s="35" t="str">
        <f>IFERROR(__xludf.DUMMYFUNCTION("""COMPUTED_VALUE"""),"若鶴")</f>
        <v>若鶴</v>
      </c>
      <c r="D8" s="35" t="str">
        <f>IFERROR(__xludf.DUMMYFUNCTION("""COMPUTED_VALUE"""),"三郎丸")</f>
        <v>三郎丸</v>
      </c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IFERROR(__xludf.DUMMYFUNCTION("""COMPUTED_VALUE"""),"三郎丸 2")</f>
        <v>三郎丸 2</v>
      </c>
      <c r="H8" s="35"/>
      <c r="I8" s="35"/>
      <c r="J8" s="35"/>
      <c r="K8" s="35"/>
      <c r="L8" s="35"/>
      <c r="M8" s="35"/>
      <c r="N8" s="36"/>
      <c r="O8" s="35"/>
      <c r="P8" s="37">
        <f>IFERROR(__xludf.DUMMYFUNCTION("""COMPUTED_VALUE"""),2800.0)</f>
        <v>2800</v>
      </c>
      <c r="Q8" s="37">
        <f>IFERROR(__xludf.DUMMYFUNCTION("""COMPUTED_VALUE"""),1500.0)</f>
        <v>1500</v>
      </c>
      <c r="R8" s="37"/>
      <c r="S8" s="38">
        <f>IFERROR(__xludf.DUMMYFUNCTION("""COMPUTED_VALUE"""),44935.0)</f>
        <v>44935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IFERROR(__xludf.DUMMYFUNCTION("""COMPUTED_VALUE"""),"若鶴")</f>
        <v>若鶴</v>
      </c>
      <c r="C9" s="35" t="str">
        <f>IFERROR(__xludf.DUMMYFUNCTION("""COMPUTED_VALUE"""),"若鶴")</f>
        <v>若鶴</v>
      </c>
      <c r="D9" s="35"/>
      <c r="E9" s="35" t="str">
        <f>IFERROR(__xludf.DUMMYFUNCTION("""COMPUTED_VALUE"""),"ブレンデッド")</f>
        <v>ブレンデッド</v>
      </c>
      <c r="F9" s="35"/>
      <c r="G9" s="35" t="str">
        <f>IFERROR(__xludf.DUMMYFUNCTION("""COMPUTED_VALUE"""),"サンシャインプレミアム")</f>
        <v>サンシャインプレミアム</v>
      </c>
      <c r="H9" s="35"/>
      <c r="I9" s="35"/>
      <c r="J9" s="35"/>
      <c r="K9" s="35"/>
      <c r="L9" s="35"/>
      <c r="M9" s="35"/>
      <c r="N9" s="36"/>
      <c r="O9" s="35"/>
      <c r="P9" s="37">
        <f>IFERROR(__xludf.DUMMYFUNCTION("""COMPUTED_VALUE"""),1000.0)</f>
        <v>1000</v>
      </c>
      <c r="Q9" s="37">
        <f>IFERROR(__xludf.DUMMYFUNCTION("""COMPUTED_VALUE"""),600.0)</f>
        <v>600</v>
      </c>
      <c r="R9" s="37"/>
      <c r="S9" s="38"/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IFERROR(__xludf.DUMMYFUNCTION("""COMPUTED_VALUE"""),"若鶴")</f>
        <v>若鶴</v>
      </c>
      <c r="C10" s="35" t="str">
        <f>IFERROR(__xludf.DUMMYFUNCTION("""COMPUTED_VALUE"""),"若鶴")</f>
        <v>若鶴</v>
      </c>
      <c r="D10" s="35"/>
      <c r="E10" s="35" t="str">
        <f>IFERROR(__xludf.DUMMYFUNCTION("""COMPUTED_VALUE"""),"ブレンデッド")</f>
        <v>ブレンデッド</v>
      </c>
      <c r="F10" s="35"/>
      <c r="G10" s="35" t="str">
        <f>IFERROR(__xludf.DUMMYFUNCTION("""COMPUTED_VALUE"""),"サンシャインプレミアム ワインカスクフィニッシュ ")</f>
        <v>サンシャインプレミアム ワインカスクフィニッシュ </v>
      </c>
      <c r="H10" s="35"/>
      <c r="I10" s="35"/>
      <c r="J10" s="35"/>
      <c r="K10" s="35"/>
      <c r="L10" s="35"/>
      <c r="M10" s="35"/>
      <c r="N10" s="36"/>
      <c r="O10" s="35"/>
      <c r="P10" s="37">
        <f>IFERROR(__xludf.DUMMYFUNCTION("""COMPUTED_VALUE"""),1000.0)</f>
        <v>1000</v>
      </c>
      <c r="Q10" s="37">
        <f>IFERROR(__xludf.DUMMYFUNCTION("""COMPUTED_VALUE"""),600.0)</f>
        <v>600</v>
      </c>
      <c r="R10" s="37"/>
      <c r="S10" s="38"/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IFERROR(__xludf.DUMMYFUNCTION("""COMPUTED_VALUE"""),"若鶴")</f>
        <v>若鶴</v>
      </c>
      <c r="C11" s="35" t="str">
        <f>IFERROR(__xludf.DUMMYFUNCTION("""COMPUTED_VALUE"""),"若鶴")</f>
        <v>若鶴</v>
      </c>
      <c r="D11" s="35"/>
      <c r="E11" s="35" t="str">
        <f>IFERROR(__xludf.DUMMYFUNCTION("""COMPUTED_VALUE"""),"ブレンデッド")</f>
        <v>ブレンデッド</v>
      </c>
      <c r="F11" s="35"/>
      <c r="G11" s="35" t="str">
        <f>IFERROR(__xludf.DUMMYFUNCTION("""COMPUTED_VALUE"""),"ムーングロウ 10年 1st.リリース")</f>
        <v>ムーングロウ 10年 1st.リリース</v>
      </c>
      <c r="H11" s="35"/>
      <c r="I11" s="35"/>
      <c r="J11" s="35"/>
      <c r="K11" s="35"/>
      <c r="L11" s="35"/>
      <c r="M11" s="35"/>
      <c r="N11" s="36"/>
      <c r="O11" s="35"/>
      <c r="P11" s="37">
        <f>IFERROR(__xludf.DUMMYFUNCTION("""COMPUTED_VALUE"""),2600.0)</f>
        <v>2600</v>
      </c>
      <c r="Q11" s="37">
        <f>IFERROR(__xludf.DUMMYFUNCTION("""COMPUTED_VALUE"""),1400.0)</f>
        <v>1400</v>
      </c>
      <c r="R11" s="37"/>
      <c r="S11" s="38">
        <f>IFERROR(__xludf.DUMMYFUNCTION("""COMPUTED_VALUE"""),45648.0)</f>
        <v>45648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IFERROR(__xludf.DUMMYFUNCTION("""COMPUTED_VALUE"""),"小正嘉之助")</f>
        <v>小正嘉之助</v>
      </c>
      <c r="C12" s="35" t="str">
        <f>IFERROR(__xludf.DUMMYFUNCTION("""COMPUTED_VALUE"""),"小正嘉之助")</f>
        <v>小正嘉之助</v>
      </c>
      <c r="D12" s="35" t="str">
        <f>IFERROR(__xludf.DUMMYFUNCTION("""COMPUTED_VALUE"""),"嘉之助")</f>
        <v>嘉之助</v>
      </c>
      <c r="E12" s="35" t="str">
        <f>IFERROR(__xludf.DUMMYFUNCTION("""COMPUTED_VALUE"""),"シングルカスク")</f>
        <v>シングルカスク</v>
      </c>
      <c r="F12" s="35" t="str">
        <f>IFERROR(__xludf.DUMMYFUNCTION("""COMPUTED_VALUE"""),"#18129")</f>
        <v>#18129</v>
      </c>
      <c r="G12" s="35" t="str">
        <f>IFERROR(__xludf.DUMMYFUNCTION("""COMPUTED_VALUE"""),"嘉之介")</f>
        <v>嘉之介</v>
      </c>
      <c r="H12" s="35" t="str">
        <f>IFERROR(__xludf.DUMMYFUNCTION("""COMPUTED_VALUE"""),"for ウイスキートーク福岡2021")</f>
        <v>for ウイスキートーク福岡2021</v>
      </c>
      <c r="I12" s="35"/>
      <c r="J12" s="35"/>
      <c r="K12" s="35"/>
      <c r="L12" s="35"/>
      <c r="M12" s="35"/>
      <c r="N12" s="36"/>
      <c r="O12" s="35"/>
      <c r="P12" s="37">
        <f>IFERROR(__xludf.DUMMYFUNCTION("""COMPUTED_VALUE"""),3000.0)</f>
        <v>3000</v>
      </c>
      <c r="Q12" s="37">
        <f>IFERROR(__xludf.DUMMYFUNCTION("""COMPUTED_VALUE"""),1600.0)</f>
        <v>1600</v>
      </c>
      <c r="R12" s="37"/>
      <c r="S12" s="38"/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IFERROR(__xludf.DUMMYFUNCTION("""COMPUTED_VALUE"""),"小正嘉之助")</f>
        <v>小正嘉之助</v>
      </c>
      <c r="C13" s="35" t="str">
        <f>IFERROR(__xludf.DUMMYFUNCTION("""COMPUTED_VALUE"""),"小正嘉之助")</f>
        <v>小正嘉之助</v>
      </c>
      <c r="D13" s="35" t="str">
        <f>IFERROR(__xludf.DUMMYFUNCTION("""COMPUTED_VALUE"""),"嘉之助")</f>
        <v>嘉之助</v>
      </c>
      <c r="E13" s="35" t="str">
        <f>IFERROR(__xludf.DUMMYFUNCTION("""COMPUTED_VALUE"""),"シングルカスク")</f>
        <v>シングルカスク</v>
      </c>
      <c r="F13" s="35" t="str">
        <f>IFERROR(__xludf.DUMMYFUNCTION("""COMPUTED_VALUE"""),"#22023")</f>
        <v>#22023</v>
      </c>
      <c r="G13" s="35" t="str">
        <f>IFERROR(__xludf.DUMMYFUNCTION("""COMPUTED_VALUE"""),"嘉之介 報恩謝徳")</f>
        <v>嘉之介 報恩謝徳</v>
      </c>
      <c r="H13" s="35" t="str">
        <f>IFERROR(__xludf.DUMMYFUNCTION("""COMPUTED_VALUE"""),"for BAR GROOVY 25周年記念")</f>
        <v>for BAR GROOVY 25周年記念</v>
      </c>
      <c r="I13" s="35"/>
      <c r="J13" s="35"/>
      <c r="K13" s="35"/>
      <c r="L13" s="35"/>
      <c r="M13" s="35"/>
      <c r="N13" s="36">
        <f>IFERROR(__xludf.DUMMYFUNCTION("""COMPUTED_VALUE"""),0.57)</f>
        <v>0.57</v>
      </c>
      <c r="O13" s="35">
        <f>IFERROR(__xludf.DUMMYFUNCTION("""COMPUTED_VALUE"""),112.0)</f>
        <v>112</v>
      </c>
      <c r="P13" s="37">
        <f>IFERROR(__xludf.DUMMYFUNCTION("""COMPUTED_VALUE"""),3000.0)</f>
        <v>3000</v>
      </c>
      <c r="Q13" s="37">
        <f>IFERROR(__xludf.DUMMYFUNCTION("""COMPUTED_VALUE"""),1600.0)</f>
        <v>1600</v>
      </c>
      <c r="R13" s="37"/>
      <c r="S13" s="38">
        <f>IFERROR(__xludf.DUMMYFUNCTION("""COMPUTED_VALUE"""),45914.0)</f>
        <v>45914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IFERROR(__xludf.DUMMYFUNCTION("""COMPUTED_VALUE"""),"小正嘉之助")</f>
        <v>小正嘉之助</v>
      </c>
      <c r="C14" s="35" t="str">
        <f>IFERROR(__xludf.DUMMYFUNCTION("""COMPUTED_VALUE"""),"小正嘉之助")</f>
        <v>小正嘉之助</v>
      </c>
      <c r="D14" s="35" t="str">
        <f>IFERROR(__xludf.DUMMYFUNCTION("""COMPUTED_VALUE"""),"嘉之助")</f>
        <v>嘉之助</v>
      </c>
      <c r="E14" s="35" t="str">
        <f>IFERROR(__xludf.DUMMYFUNCTION("""COMPUTED_VALUE"""),"シングルカスク")</f>
        <v>シングルカスク</v>
      </c>
      <c r="F14" s="35" t="str">
        <f>IFERROR(__xludf.DUMMYFUNCTION("""COMPUTED_VALUE"""),"#19058")</f>
        <v>#19058</v>
      </c>
      <c r="G14" s="35" t="str">
        <f>IFERROR(__xludf.DUMMYFUNCTION("""COMPUTED_VALUE"""),"嘉之助")</f>
        <v>嘉之助</v>
      </c>
      <c r="H14" s="35" t="str">
        <f>IFERROR(__xludf.DUMMYFUNCTION("""COMPUTED_VALUE"""),"for MMWM2022")</f>
        <v>for MMWM2022</v>
      </c>
      <c r="I14" s="35"/>
      <c r="J14" s="35"/>
      <c r="K14" s="35"/>
      <c r="L14" s="35"/>
      <c r="M14" s="35"/>
      <c r="N14" s="36"/>
      <c r="O14" s="35"/>
      <c r="P14" s="37">
        <f>IFERROR(__xludf.DUMMYFUNCTION("""COMPUTED_VALUE"""),3000.0)</f>
        <v>3000</v>
      </c>
      <c r="Q14" s="37">
        <f>IFERROR(__xludf.DUMMYFUNCTION("""COMPUTED_VALUE"""),1600.0)</f>
        <v>1600</v>
      </c>
      <c r="R14" s="37"/>
      <c r="S14" s="38">
        <f>IFERROR(__xludf.DUMMYFUNCTION("""COMPUTED_VALUE"""),44856.0)</f>
        <v>44856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IFERROR(__xludf.DUMMYFUNCTION("""COMPUTED_VALUE"""),"小正嘉之助")</f>
        <v>小正嘉之助</v>
      </c>
      <c r="C15" s="35" t="str">
        <f>IFERROR(__xludf.DUMMYFUNCTION("""COMPUTED_VALUE"""),"小正嘉之助")</f>
        <v>小正嘉之助</v>
      </c>
      <c r="D15" s="35" t="str">
        <f>IFERROR(__xludf.DUMMYFUNCTION("""COMPUTED_VALUE"""),"嘉之助")</f>
        <v>嘉之助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IFERROR(__xludf.DUMMYFUNCTION("""COMPUTED_VALUE"""),"嘉之助")</f>
        <v>嘉之助</v>
      </c>
      <c r="H15" s="35"/>
      <c r="I15" s="35"/>
      <c r="J15" s="35"/>
      <c r="K15" s="35"/>
      <c r="L15" s="35" t="str">
        <f>IFERROR(__xludf.DUMMYFUNCTION("""COMPUTED_VALUE"""),"✓")</f>
        <v>✓</v>
      </c>
      <c r="M15" s="35"/>
      <c r="N15" s="36"/>
      <c r="O15" s="35"/>
      <c r="P15" s="37">
        <f>IFERROR(__xludf.DUMMYFUNCTION("""COMPUTED_VALUE"""),1600.0)</f>
        <v>1600</v>
      </c>
      <c r="Q15" s="37">
        <f>IFERROR(__xludf.DUMMYFUNCTION("""COMPUTED_VALUE"""),900.0)</f>
        <v>900</v>
      </c>
      <c r="R15" s="37"/>
      <c r="S15" s="38">
        <f>IFERROR(__xludf.DUMMYFUNCTION("""COMPUTED_VALUE"""),44984.0)</f>
        <v>44984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IFERROR(__xludf.DUMMYFUNCTION("""COMPUTED_VALUE"""),"小正嘉之助")</f>
        <v>小正嘉之助</v>
      </c>
      <c r="C16" s="35" t="str">
        <f>IFERROR(__xludf.DUMMYFUNCTION("""COMPUTED_VALUE"""),"小正嘉之助")</f>
        <v>小正嘉之助</v>
      </c>
      <c r="D16" s="35" t="str">
        <f>IFERROR(__xludf.DUMMYFUNCTION("""COMPUTED_VALUE"""),"嘉之助")</f>
        <v>嘉之助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IFERROR(__xludf.DUMMYFUNCTION("""COMPUTED_VALUE"""),"嘉之介 2021 ファーストエディション")</f>
        <v>嘉之介 2021 ファーストエディション</v>
      </c>
      <c r="H16" s="35"/>
      <c r="I16" s="35"/>
      <c r="J16" s="35"/>
      <c r="K16" s="35"/>
      <c r="L16" s="35"/>
      <c r="M16" s="35"/>
      <c r="N16" s="36"/>
      <c r="O16" s="35"/>
      <c r="P16" s="37">
        <f>IFERROR(__xludf.DUMMYFUNCTION("""COMPUTED_VALUE"""),2600.0)</f>
        <v>2600</v>
      </c>
      <c r="Q16" s="37">
        <f>IFERROR(__xludf.DUMMYFUNCTION("""COMPUTED_VALUE"""),1400.0)</f>
        <v>1400</v>
      </c>
      <c r="R16" s="37"/>
      <c r="S16" s="38"/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IFERROR(__xludf.DUMMYFUNCTION("""COMPUTED_VALUE"""),"小正嘉之助")</f>
        <v>小正嘉之助</v>
      </c>
      <c r="C17" s="35" t="str">
        <f>IFERROR(__xludf.DUMMYFUNCTION("""COMPUTED_VALUE"""),"小正嘉之助")</f>
        <v>小正嘉之助</v>
      </c>
      <c r="D17" s="35" t="str">
        <f>IFERROR(__xludf.DUMMYFUNCTION("""COMPUTED_VALUE"""),"嘉之助")</f>
        <v>嘉之助</v>
      </c>
      <c r="E17" s="35" t="str">
        <f>IFERROR(__xludf.DUMMYFUNCTION("""COMPUTED_VALUE"""),"シングルモルト")</f>
        <v>シングルモルト</v>
      </c>
      <c r="F17" s="35"/>
      <c r="G17" s="35" t="str">
        <f>IFERROR(__xludf.DUMMYFUNCTION("""COMPUTED_VALUE"""),"嘉之介 2021 セカンドエディション")</f>
        <v>嘉之介 2021 セカンドエディション</v>
      </c>
      <c r="H17" s="35"/>
      <c r="I17" s="35"/>
      <c r="J17" s="35"/>
      <c r="K17" s="35"/>
      <c r="L17" s="35"/>
      <c r="M17" s="35"/>
      <c r="N17" s="36"/>
      <c r="O17" s="35"/>
      <c r="P17" s="37">
        <f>IFERROR(__xludf.DUMMYFUNCTION("""COMPUTED_VALUE"""),2600.0)</f>
        <v>2600</v>
      </c>
      <c r="Q17" s="37">
        <f>IFERROR(__xludf.DUMMYFUNCTION("""COMPUTED_VALUE"""),1400.0)</f>
        <v>1400</v>
      </c>
      <c r="R17" s="37"/>
      <c r="S17" s="38"/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IFERROR(__xludf.DUMMYFUNCTION("""COMPUTED_VALUE"""),"小正嘉之助")</f>
        <v>小正嘉之助</v>
      </c>
      <c r="C18" s="35" t="str">
        <f>IFERROR(__xludf.DUMMYFUNCTION("""COMPUTED_VALUE"""),"小正嘉之助")</f>
        <v>小正嘉之助</v>
      </c>
      <c r="D18" s="35" t="str">
        <f>IFERROR(__xludf.DUMMYFUNCTION("""COMPUTED_VALUE"""),"嘉之助")</f>
        <v>嘉之助</v>
      </c>
      <c r="E18" s="35" t="str">
        <f>IFERROR(__xludf.DUMMYFUNCTION("""COMPUTED_VALUE"""),"シングルモルト")</f>
        <v>シングルモルト</v>
      </c>
      <c r="F18" s="35"/>
      <c r="G18" s="35" t="str">
        <f>IFERROR(__xludf.DUMMYFUNCTION("""COMPUTED_VALUE"""),"嘉之助 2022 リミテッドエディション")</f>
        <v>嘉之助 2022 リミテッドエディション</v>
      </c>
      <c r="H18" s="35"/>
      <c r="I18" s="35"/>
      <c r="J18" s="35"/>
      <c r="K18" s="35"/>
      <c r="L18" s="35"/>
      <c r="M18" s="35"/>
      <c r="N18" s="36"/>
      <c r="O18" s="35"/>
      <c r="P18" s="37">
        <f>IFERROR(__xludf.DUMMYFUNCTION("""COMPUTED_VALUE"""),2600.0)</f>
        <v>2600</v>
      </c>
      <c r="Q18" s="37">
        <f>IFERROR(__xludf.DUMMYFUNCTION("""COMPUTED_VALUE"""),1400.0)</f>
        <v>1400</v>
      </c>
      <c r="R18" s="37"/>
      <c r="S18" s="38"/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IFERROR(__xludf.DUMMYFUNCTION("""COMPUTED_VALUE"""),"江井ヶ嶋")</f>
        <v>江井ヶ嶋</v>
      </c>
      <c r="C19" s="35" t="str">
        <f>IFERROR(__xludf.DUMMYFUNCTION("""COMPUTED_VALUE"""),"江井ヶ嶋")</f>
        <v>江井ヶ嶋</v>
      </c>
      <c r="D19" s="35" t="str">
        <f>IFERROR(__xludf.DUMMYFUNCTION("""COMPUTED_VALUE"""),"江井ヶ嶋")</f>
        <v>江井ヶ嶋</v>
      </c>
      <c r="E19" s="35" t="str">
        <f>IFERROR(__xludf.DUMMYFUNCTION("""COMPUTED_VALUE"""),"シングルカスク")</f>
        <v>シングルカスク</v>
      </c>
      <c r="F19" s="35" t="str">
        <f>IFERROR(__xludf.DUMMYFUNCTION("""COMPUTED_VALUE"""),"#1241")</f>
        <v>#1241</v>
      </c>
      <c r="G19" s="35" t="str">
        <f>IFERROR(__xludf.DUMMYFUNCTION("""COMPUTED_VALUE"""),"あかし 3年 バーボンバレル")</f>
        <v>あかし 3年 バーボンバレル</v>
      </c>
      <c r="H19" s="35"/>
      <c r="I19" s="35"/>
      <c r="J19" s="35"/>
      <c r="K19" s="35"/>
      <c r="L19" s="35"/>
      <c r="M19" s="35"/>
      <c r="N19" s="36"/>
      <c r="O19" s="35"/>
      <c r="P19" s="37">
        <f>IFERROR(__xludf.DUMMYFUNCTION("""COMPUTED_VALUE"""),2200.0)</f>
        <v>2200</v>
      </c>
      <c r="Q19" s="37">
        <f>IFERROR(__xludf.DUMMYFUNCTION("""COMPUTED_VALUE"""),1200.0)</f>
        <v>1200</v>
      </c>
      <c r="R19" s="37"/>
      <c r="S19" s="38"/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IFERROR(__xludf.DUMMYFUNCTION("""COMPUTED_VALUE"""),"江井ヶ嶋")</f>
        <v>江井ヶ嶋</v>
      </c>
      <c r="C20" s="35" t="str">
        <f>IFERROR(__xludf.DUMMYFUNCTION("""COMPUTED_VALUE"""),"江井ヶ嶋")</f>
        <v>江井ヶ嶋</v>
      </c>
      <c r="D20" s="35" t="str">
        <f>IFERROR(__xludf.DUMMYFUNCTION("""COMPUTED_VALUE"""),"江井ヶ嶋")</f>
        <v>江井ヶ嶋</v>
      </c>
      <c r="E20" s="35" t="str">
        <f>IFERROR(__xludf.DUMMYFUNCTION("""COMPUTED_VALUE"""),"シングルカスク")</f>
        <v>シングルカスク</v>
      </c>
      <c r="F20" s="35" t="str">
        <f>IFERROR(__xludf.DUMMYFUNCTION("""COMPUTED_VALUE"""),"#5158")</f>
        <v>#5158</v>
      </c>
      <c r="G20" s="35" t="str">
        <f>IFERROR(__xludf.DUMMYFUNCTION("""COMPUTED_VALUE"""),"あかし 5年 シェリーバット")</f>
        <v>あかし 5年 シェリーバット</v>
      </c>
      <c r="H20" s="35"/>
      <c r="I20" s="35"/>
      <c r="J20" s="35"/>
      <c r="K20" s="35"/>
      <c r="L20" s="35"/>
      <c r="M20" s="35"/>
      <c r="N20" s="36"/>
      <c r="O20" s="35"/>
      <c r="P20" s="37">
        <f>IFERROR(__xludf.DUMMYFUNCTION("""COMPUTED_VALUE"""),2400.0)</f>
        <v>2400</v>
      </c>
      <c r="Q20" s="37">
        <f>IFERROR(__xludf.DUMMYFUNCTION("""COMPUTED_VALUE"""),1300.0)</f>
        <v>1300</v>
      </c>
      <c r="R20" s="37"/>
      <c r="S20" s="38"/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IFERROR(__xludf.DUMMYFUNCTION("""COMPUTED_VALUE"""),"江井ヶ嶋")</f>
        <v>江井ヶ嶋</v>
      </c>
      <c r="C21" s="35" t="str">
        <f>IFERROR(__xludf.DUMMYFUNCTION("""COMPUTED_VALUE"""),"小学館")</f>
        <v>小学館</v>
      </c>
      <c r="D21" s="35" t="str">
        <f>IFERROR(__xludf.DUMMYFUNCTION("""COMPUTED_VALUE"""),"江井ヶ嶋")</f>
        <v>江井ヶ嶋</v>
      </c>
      <c r="E21" s="35" t="str">
        <f>IFERROR(__xludf.DUMMYFUNCTION("""COMPUTED_VALUE"""),"シングルカスク")</f>
        <v>シングルカスク</v>
      </c>
      <c r="F21" s="35" t="str">
        <f>IFERROR(__xludf.DUMMYFUNCTION("""COMPUTED_VALUE"""),"#61191")</f>
        <v>#61191</v>
      </c>
      <c r="G21" s="35" t="str">
        <f>IFERROR(__xludf.DUMMYFUNCTION("""COMPUTED_VALUE"""),"あかし 6年")</f>
        <v>あかし 6年</v>
      </c>
      <c r="H21" s="35" t="str">
        <f>IFERROR(__xludf.DUMMYFUNCTION("""COMPUTED_VALUE"""),"for ビッグコミック50周年記念")</f>
        <v>for ビッグコミック50周年記念</v>
      </c>
      <c r="I21" s="35"/>
      <c r="J21" s="35"/>
      <c r="K21" s="35"/>
      <c r="L21" s="35"/>
      <c r="M21" s="35"/>
      <c r="N21" s="36"/>
      <c r="O21" s="35"/>
      <c r="P21" s="37">
        <f>IFERROR(__xludf.DUMMYFUNCTION("""COMPUTED_VALUE"""),3500.0)</f>
        <v>3500</v>
      </c>
      <c r="Q21" s="37">
        <f>IFERROR(__xludf.DUMMYFUNCTION("""COMPUTED_VALUE"""),1900.0)</f>
        <v>1900</v>
      </c>
      <c r="R21" s="37"/>
      <c r="S21" s="38"/>
      <c r="T21" s="35"/>
      <c r="U21" s="35"/>
      <c r="V21" s="35"/>
    </row>
    <row r="22" ht="15.75" customHeight="1">
      <c r="A22" s="35" t="str">
        <f>IFERROR(__xludf.DUMMYFUNCTION("""COMPUTED_VALUE"""),"JP")</f>
        <v>JP</v>
      </c>
      <c r="B22" s="35" t="str">
        <f>IFERROR(__xludf.DUMMYFUNCTION("""COMPUTED_VALUE"""),"江井ヶ嶋")</f>
        <v>江井ヶ嶋</v>
      </c>
      <c r="C22" s="35" t="str">
        <f>IFERROR(__xludf.DUMMYFUNCTION("""COMPUTED_VALUE"""),"江井ヶ嶋")</f>
        <v>江井ヶ嶋</v>
      </c>
      <c r="D22" s="35" t="str">
        <f>IFERROR(__xludf.DUMMYFUNCTION("""COMPUTED_VALUE"""),"江井ヶ嶋")</f>
        <v>江井ヶ嶋</v>
      </c>
      <c r="E22" s="35" t="str">
        <f>IFERROR(__xludf.DUMMYFUNCTION("""COMPUTED_VALUE"""),"シングルカスク")</f>
        <v>シングルカスク</v>
      </c>
      <c r="F22" s="35" t="str">
        <f>IFERROR(__xludf.DUMMYFUNCTION("""COMPUTED_VALUE"""),"#5184")</f>
        <v>#5184</v>
      </c>
      <c r="G22" s="35" t="str">
        <f>IFERROR(__xludf.DUMMYFUNCTION("""COMPUTED_VALUE"""),"あかし 8年 シェリーバット")</f>
        <v>あかし 8年 シェリーバット</v>
      </c>
      <c r="H22" s="35"/>
      <c r="I22" s="35"/>
      <c r="J22" s="35"/>
      <c r="K22" s="35"/>
      <c r="L22" s="35"/>
      <c r="M22" s="35"/>
      <c r="N22" s="36"/>
      <c r="O22" s="35"/>
      <c r="P22" s="37">
        <f>IFERROR(__xludf.DUMMYFUNCTION("""COMPUTED_VALUE"""),3000.0)</f>
        <v>3000</v>
      </c>
      <c r="Q22" s="37">
        <f>IFERROR(__xludf.DUMMYFUNCTION("""COMPUTED_VALUE"""),1600.0)</f>
        <v>1600</v>
      </c>
      <c r="R22" s="37"/>
      <c r="S22" s="38"/>
      <c r="T22" s="35"/>
      <c r="U22" s="35"/>
      <c r="V22" s="35"/>
    </row>
    <row r="23" ht="15.75" customHeight="1">
      <c r="A23" s="35" t="str">
        <f>IFERROR(__xludf.DUMMYFUNCTION("""COMPUTED_VALUE"""),"JP")</f>
        <v>JP</v>
      </c>
      <c r="B23" s="35" t="str">
        <f>IFERROR(__xludf.DUMMYFUNCTION("""COMPUTED_VALUE"""),"江井ヶ嶋")</f>
        <v>江井ヶ嶋</v>
      </c>
      <c r="C23" s="35" t="str">
        <f>IFERROR(__xludf.DUMMYFUNCTION("""COMPUTED_VALUE"""),"江井ヶ嶋")</f>
        <v>江井ヶ嶋</v>
      </c>
      <c r="D23" s="35" t="str">
        <f>IFERROR(__xludf.DUMMYFUNCTION("""COMPUTED_VALUE"""),"江井ヶ嶋")</f>
        <v>江井ヶ嶋</v>
      </c>
      <c r="E23" s="35" t="str">
        <f>IFERROR(__xludf.DUMMYFUNCTION("""COMPUTED_VALUE"""),"シングルカスク")</f>
        <v>シングルカスク</v>
      </c>
      <c r="F23" s="35" t="str">
        <f>IFERROR(__xludf.DUMMYFUNCTION("""COMPUTED_VALUE"""),"#118164")</f>
        <v>#118164</v>
      </c>
      <c r="G23" s="35" t="str">
        <f>IFERROR(__xludf.DUMMYFUNCTION("""COMPUTED_VALUE"""),"あかし シェリーカスクPX 3年")</f>
        <v>あかし シェリーカスクPX 3年</v>
      </c>
      <c r="H23" s="35"/>
      <c r="I23" s="35"/>
      <c r="J23" s="35"/>
      <c r="K23" s="35"/>
      <c r="L23" s="35"/>
      <c r="M23" s="35"/>
      <c r="N23" s="36"/>
      <c r="O23" s="35"/>
      <c r="P23" s="37">
        <f>IFERROR(__xludf.DUMMYFUNCTION("""COMPUTED_VALUE"""),2800.0)</f>
        <v>2800</v>
      </c>
      <c r="Q23" s="37">
        <f>IFERROR(__xludf.DUMMYFUNCTION("""COMPUTED_VALUE"""),1500.0)</f>
        <v>1500</v>
      </c>
      <c r="R23" s="37"/>
      <c r="S23" s="38">
        <f>IFERROR(__xludf.DUMMYFUNCTION("""COMPUTED_VALUE"""),45386.0)</f>
        <v>45386</v>
      </c>
      <c r="T23" s="35"/>
      <c r="U23" s="35"/>
      <c r="V23" s="35"/>
    </row>
    <row r="24" ht="15.75" customHeight="1">
      <c r="A24" s="35" t="str">
        <f>IFERROR(__xludf.DUMMYFUNCTION("""COMPUTED_VALUE"""),"JP")</f>
        <v>JP</v>
      </c>
      <c r="B24" s="35" t="str">
        <f>IFERROR(__xludf.DUMMYFUNCTION("""COMPUTED_VALUE"""),"江井ヶ嶋")</f>
        <v>江井ヶ嶋</v>
      </c>
      <c r="C24" s="35" t="str">
        <f>IFERROR(__xludf.DUMMYFUNCTION("""COMPUTED_VALUE"""),"ブラックアダー")</f>
        <v>ブラックアダー</v>
      </c>
      <c r="D24" s="35" t="str">
        <f>IFERROR(__xludf.DUMMYFUNCTION("""COMPUTED_VALUE"""),"江井ヶ嶋")</f>
        <v>江井ヶ嶋</v>
      </c>
      <c r="E24" s="35" t="str">
        <f>IFERROR(__xludf.DUMMYFUNCTION("""COMPUTED_VALUE"""),"シングルカスク")</f>
        <v>シングルカスク</v>
      </c>
      <c r="F24" s="35" t="str">
        <f>IFERROR(__xludf.DUMMYFUNCTION("""COMPUTED_VALUE"""),"#101474")</f>
        <v>#101474</v>
      </c>
      <c r="G24" s="35" t="str">
        <f>IFERROR(__xludf.DUMMYFUNCTION("""COMPUTED_VALUE"""),"ブラックアダー江井ヶ嶋 オロロソシェリーバット")</f>
        <v>ブラックアダー江井ヶ嶋 オロロソシェリーバット</v>
      </c>
      <c r="H24" s="35"/>
      <c r="I24" s="35"/>
      <c r="J24" s="35"/>
      <c r="K24" s="35"/>
      <c r="L24" s="35"/>
      <c r="M24" s="35"/>
      <c r="N24" s="36"/>
      <c r="O24" s="35"/>
      <c r="P24" s="37">
        <f>IFERROR(__xludf.DUMMYFUNCTION("""COMPUTED_VALUE"""),3500.0)</f>
        <v>3500</v>
      </c>
      <c r="Q24" s="37">
        <f>IFERROR(__xludf.DUMMYFUNCTION("""COMPUTED_VALUE"""),1900.0)</f>
        <v>1900</v>
      </c>
      <c r="R24" s="37"/>
      <c r="S24" s="38">
        <f>IFERROR(__xludf.DUMMYFUNCTION("""COMPUTED_VALUE"""),44939.0)</f>
        <v>44939</v>
      </c>
      <c r="T24" s="35"/>
      <c r="U24" s="35"/>
      <c r="V24" s="35"/>
    </row>
    <row r="25" ht="15.75" customHeight="1">
      <c r="A25" s="35" t="str">
        <f>IFERROR(__xludf.DUMMYFUNCTION("""COMPUTED_VALUE"""),"JP")</f>
        <v>JP</v>
      </c>
      <c r="B25" s="35" t="str">
        <f>IFERROR(__xludf.DUMMYFUNCTION("""COMPUTED_VALUE"""),"江井ヶ嶋")</f>
        <v>江井ヶ嶋</v>
      </c>
      <c r="C25" s="35" t="str">
        <f>IFERROR(__xludf.DUMMYFUNCTION("""COMPUTED_VALUE"""),"ガイアフロー")</f>
        <v>ガイアフロー</v>
      </c>
      <c r="D25" s="35" t="str">
        <f>IFERROR(__xludf.DUMMYFUNCTION("""COMPUTED_VALUE"""),"江井ヶ嶋")</f>
        <v>江井ヶ嶋</v>
      </c>
      <c r="E25" s="35" t="str">
        <f>IFERROR(__xludf.DUMMYFUNCTION("""COMPUTED_VALUE"""),"シングルカスク")</f>
        <v>シングルカスク</v>
      </c>
      <c r="F25" s="35"/>
      <c r="G25" s="35" t="str">
        <f>IFERROR(__xludf.DUMMYFUNCTION("""COMPUTED_VALUE"""),"紅葉")</f>
        <v>紅葉</v>
      </c>
      <c r="H25" s="35" t="str">
        <f>IFERROR(__xludf.DUMMYFUNCTION("""COMPUTED_VALUE"""),"ガイアフローPB")</f>
        <v>ガイアフローPB</v>
      </c>
      <c r="I25" s="35"/>
      <c r="J25" s="35"/>
      <c r="K25" s="35"/>
      <c r="L25" s="35"/>
      <c r="M25" s="35"/>
      <c r="N25" s="36"/>
      <c r="O25" s="35"/>
      <c r="P25" s="37">
        <f>IFERROR(__xludf.DUMMYFUNCTION("""COMPUTED_VALUE"""),2000.0)</f>
        <v>2000</v>
      </c>
      <c r="Q25" s="37">
        <f>IFERROR(__xludf.DUMMYFUNCTION("""COMPUTED_VALUE"""),1100.0)</f>
        <v>1100</v>
      </c>
      <c r="R25" s="37"/>
      <c r="S25" s="38">
        <f>IFERROR(__xludf.DUMMYFUNCTION("""COMPUTED_VALUE"""),45389.0)</f>
        <v>45389</v>
      </c>
      <c r="T25" s="35"/>
      <c r="U25" s="35"/>
      <c r="V25" s="35"/>
    </row>
    <row r="26" ht="15.75" customHeight="1">
      <c r="A26" s="35" t="str">
        <f>IFERROR(__xludf.DUMMYFUNCTION("""COMPUTED_VALUE"""),"JP")</f>
        <v>JP</v>
      </c>
      <c r="B26" s="35" t="str">
        <f>IFERROR(__xludf.DUMMYFUNCTION("""COMPUTED_VALUE"""),"江井ヶ嶋")</f>
        <v>江井ヶ嶋</v>
      </c>
      <c r="C26" s="35" t="str">
        <f>IFERROR(__xludf.DUMMYFUNCTION("""COMPUTED_VALUE"""),"ガイアフロー")</f>
        <v>ガイアフロー</v>
      </c>
      <c r="D26" s="35" t="str">
        <f>IFERROR(__xludf.DUMMYFUNCTION("""COMPUTED_VALUE"""),"江井ヶ嶋")</f>
        <v>江井ヶ嶋</v>
      </c>
      <c r="E26" s="35" t="str">
        <f>IFERROR(__xludf.DUMMYFUNCTION("""COMPUTED_VALUE"""),"シングルカスク")</f>
        <v>シングルカスク</v>
      </c>
      <c r="F26" s="35"/>
      <c r="G26" s="35" t="str">
        <f>IFERROR(__xludf.DUMMYFUNCTION("""COMPUTED_VALUE"""),"桐")</f>
        <v>桐</v>
      </c>
      <c r="H26" s="35" t="str">
        <f>IFERROR(__xludf.DUMMYFUNCTION("""COMPUTED_VALUE"""),"ガイアフローPB")</f>
        <v>ガイアフローPB</v>
      </c>
      <c r="I26" s="35"/>
      <c r="J26" s="35"/>
      <c r="K26" s="35"/>
      <c r="L26" s="35"/>
      <c r="M26" s="35"/>
      <c r="N26" s="36"/>
      <c r="O26" s="35"/>
      <c r="P26" s="37">
        <f>IFERROR(__xludf.DUMMYFUNCTION("""COMPUTED_VALUE"""),2200.0)</f>
        <v>2200</v>
      </c>
      <c r="Q26" s="37">
        <f>IFERROR(__xludf.DUMMYFUNCTION("""COMPUTED_VALUE"""),1200.0)</f>
        <v>1200</v>
      </c>
      <c r="R26" s="37"/>
      <c r="S26" s="38">
        <f>IFERROR(__xludf.DUMMYFUNCTION("""COMPUTED_VALUE"""),45388.0)</f>
        <v>45388</v>
      </c>
      <c r="T26" s="35"/>
      <c r="U26" s="35"/>
      <c r="V26" s="35"/>
    </row>
    <row r="27" ht="15.75" customHeight="1">
      <c r="A27" s="35" t="str">
        <f>IFERROR(__xludf.DUMMYFUNCTION("""COMPUTED_VALUE"""),"JP")</f>
        <v>JP</v>
      </c>
      <c r="B27" s="35" t="str">
        <f>IFERROR(__xludf.DUMMYFUNCTION("""COMPUTED_VALUE"""),"江井ヶ嶋")</f>
        <v>江井ヶ嶋</v>
      </c>
      <c r="C27" s="35" t="str">
        <f>IFERROR(__xludf.DUMMYFUNCTION("""COMPUTED_VALUE"""),"ガイアフロー")</f>
        <v>ガイアフロー</v>
      </c>
      <c r="D27" s="35" t="str">
        <f>IFERROR(__xludf.DUMMYFUNCTION("""COMPUTED_VALUE"""),"江井ヶ嶋")</f>
        <v>江井ヶ嶋</v>
      </c>
      <c r="E27" s="35" t="str">
        <f>IFERROR(__xludf.DUMMYFUNCTION("""COMPUTED_VALUE"""),"シングルカスク")</f>
        <v>シングルカスク</v>
      </c>
      <c r="F27" s="35"/>
      <c r="G27" s="35" t="str">
        <f>IFERROR(__xludf.DUMMYFUNCTION("""COMPUTED_VALUE"""),"桜")</f>
        <v>桜</v>
      </c>
      <c r="H27" s="35" t="str">
        <f>IFERROR(__xludf.DUMMYFUNCTION("""COMPUTED_VALUE"""),"ガイアフローPB")</f>
        <v>ガイアフローPB</v>
      </c>
      <c r="I27" s="35"/>
      <c r="J27" s="35"/>
      <c r="K27" s="35"/>
      <c r="L27" s="35"/>
      <c r="M27" s="35"/>
      <c r="N27" s="36"/>
      <c r="O27" s="35"/>
      <c r="P27" s="37">
        <f>IFERROR(__xludf.DUMMYFUNCTION("""COMPUTED_VALUE"""),2400.0)</f>
        <v>2400</v>
      </c>
      <c r="Q27" s="37">
        <f>IFERROR(__xludf.DUMMYFUNCTION("""COMPUTED_VALUE"""),1300.0)</f>
        <v>1300</v>
      </c>
      <c r="R27" s="37"/>
      <c r="S27" s="38">
        <f>IFERROR(__xludf.DUMMYFUNCTION("""COMPUTED_VALUE"""),45387.0)</f>
        <v>45387</v>
      </c>
      <c r="T27" s="35"/>
      <c r="U27" s="35"/>
      <c r="V27" s="35"/>
    </row>
    <row r="28" ht="15.75" customHeight="1">
      <c r="A28" s="35" t="str">
        <f>IFERROR(__xludf.DUMMYFUNCTION("""COMPUTED_VALUE"""),"JP")</f>
        <v>JP</v>
      </c>
      <c r="B28" s="35" t="str">
        <f>IFERROR(__xludf.DUMMYFUNCTION("""COMPUTED_VALUE"""),"江井ヶ嶋")</f>
        <v>江井ヶ嶋</v>
      </c>
      <c r="C28" s="35" t="str">
        <f>IFERROR(__xludf.DUMMYFUNCTION("""COMPUTED_VALUE"""),"江井ヶ嶋")</f>
        <v>江井ヶ嶋</v>
      </c>
      <c r="D28" s="35" t="str">
        <f>IFERROR(__xludf.DUMMYFUNCTION("""COMPUTED_VALUE"""),"江井ヶ嶋")</f>
        <v>江井ヶ嶋</v>
      </c>
      <c r="E28" s="35" t="str">
        <f>IFERROR(__xludf.DUMMYFUNCTION("""COMPUTED_VALUE"""),"シングルモルト")</f>
        <v>シングルモルト</v>
      </c>
      <c r="F28" s="35"/>
      <c r="G28" s="35" t="str">
        <f>IFERROR(__xludf.DUMMYFUNCTION("""COMPUTED_VALUE"""),"あかし")</f>
        <v>あかし</v>
      </c>
      <c r="H28" s="35"/>
      <c r="I28" s="35"/>
      <c r="J28" s="35"/>
      <c r="K28" s="35"/>
      <c r="L28" s="35" t="str">
        <f>IFERROR(__xludf.DUMMYFUNCTION("""COMPUTED_VALUE"""),"✓")</f>
        <v>✓</v>
      </c>
      <c r="M28" s="35"/>
      <c r="N28" s="36"/>
      <c r="O28" s="35"/>
      <c r="P28" s="37">
        <f>IFERROR(__xludf.DUMMYFUNCTION("""COMPUTED_VALUE"""),1200.0)</f>
        <v>1200</v>
      </c>
      <c r="Q28" s="37">
        <f>IFERROR(__xludf.DUMMYFUNCTION("""COMPUTED_VALUE"""),700.0)</f>
        <v>700</v>
      </c>
      <c r="R28" s="37"/>
      <c r="S28" s="38">
        <f>IFERROR(__xludf.DUMMYFUNCTION("""COMPUTED_VALUE"""),45741.0)</f>
        <v>45741</v>
      </c>
      <c r="T28" s="35"/>
      <c r="U28" s="35"/>
      <c r="V28" s="35"/>
    </row>
    <row r="29" ht="15.75" customHeight="1">
      <c r="A29" s="35" t="str">
        <f>IFERROR(__xludf.DUMMYFUNCTION("""COMPUTED_VALUE"""),"JP")</f>
        <v>JP</v>
      </c>
      <c r="B29" s="35" t="str">
        <f>IFERROR(__xludf.DUMMYFUNCTION("""COMPUTED_VALUE"""),"江井ヶ嶋")</f>
        <v>江井ヶ嶋</v>
      </c>
      <c r="C29" s="35" t="str">
        <f>IFERROR(__xludf.DUMMYFUNCTION("""COMPUTED_VALUE"""),"江井ヶ嶋")</f>
        <v>江井ヶ嶋</v>
      </c>
      <c r="D29" s="35" t="str">
        <f>IFERROR(__xludf.DUMMYFUNCTION("""COMPUTED_VALUE"""),"江井ヶ嶋")</f>
        <v>江井ヶ嶋</v>
      </c>
      <c r="E29" s="35" t="str">
        <f>IFERROR(__xludf.DUMMYFUNCTION("""COMPUTED_VALUE"""),"シングルモルト")</f>
        <v>シングルモルト</v>
      </c>
      <c r="F29" s="35"/>
      <c r="G29" s="35" t="str">
        <f>IFERROR(__xludf.DUMMYFUNCTION("""COMPUTED_VALUE"""),"あかし バーボンバレル 3年 ヘビリーピーテッド")</f>
        <v>あかし バーボンバレル 3年 ヘビリーピーテッド</v>
      </c>
      <c r="H29" s="35"/>
      <c r="I29" s="35"/>
      <c r="J29" s="35"/>
      <c r="K29" s="35"/>
      <c r="L29" s="35"/>
      <c r="M29" s="35"/>
      <c r="N29" s="36"/>
      <c r="O29" s="35"/>
      <c r="P29" s="37">
        <f>IFERROR(__xludf.DUMMYFUNCTION("""COMPUTED_VALUE"""),2800.0)</f>
        <v>2800</v>
      </c>
      <c r="Q29" s="37">
        <f>IFERROR(__xludf.DUMMYFUNCTION("""COMPUTED_VALUE"""),1500.0)</f>
        <v>1500</v>
      </c>
      <c r="R29" s="37"/>
      <c r="S29" s="38">
        <f>IFERROR(__xludf.DUMMYFUNCTION("""COMPUTED_VALUE"""),45166.0)</f>
        <v>45166</v>
      </c>
      <c r="T29" s="35"/>
      <c r="U29" s="35"/>
      <c r="V29" s="35"/>
    </row>
    <row r="30" ht="15.75" customHeight="1">
      <c r="A30" s="35" t="str">
        <f>IFERROR(__xludf.DUMMYFUNCTION("""COMPUTED_VALUE"""),"JP")</f>
        <v>JP</v>
      </c>
      <c r="B30" s="35" t="str">
        <f>IFERROR(__xludf.DUMMYFUNCTION("""COMPUTED_VALUE"""),"江井ヶ嶋")</f>
        <v>江井ヶ嶋</v>
      </c>
      <c r="C30" s="35" t="str">
        <f>IFERROR(__xludf.DUMMYFUNCTION("""COMPUTED_VALUE"""),"江井ヶ嶋")</f>
        <v>江井ヶ嶋</v>
      </c>
      <c r="D30" s="35" t="str">
        <f>IFERROR(__xludf.DUMMYFUNCTION("""COMPUTED_VALUE"""),"江井ヶ嶋")</f>
        <v>江井ヶ嶋</v>
      </c>
      <c r="E30" s="35" t="str">
        <f>IFERROR(__xludf.DUMMYFUNCTION("""COMPUTED_VALUE"""),"シングルモルト")</f>
        <v>シングルモルト</v>
      </c>
      <c r="F30" s="35"/>
      <c r="G30" s="35" t="str">
        <f>IFERROR(__xludf.DUMMYFUNCTION("""COMPUTED_VALUE"""),"あかし 5年 オロロソカスクフィニッシュ")</f>
        <v>あかし 5年 オロロソカスクフィニッシュ</v>
      </c>
      <c r="H30" s="35"/>
      <c r="I30" s="35"/>
      <c r="J30" s="35"/>
      <c r="K30" s="35"/>
      <c r="L30" s="35"/>
      <c r="M30" s="35"/>
      <c r="N30" s="36"/>
      <c r="O30" s="35"/>
      <c r="P30" s="37">
        <f>IFERROR(__xludf.DUMMYFUNCTION("""COMPUTED_VALUE"""),2800.0)</f>
        <v>2800</v>
      </c>
      <c r="Q30" s="37">
        <f>IFERROR(__xludf.DUMMYFUNCTION("""COMPUTED_VALUE"""),1500.0)</f>
        <v>1500</v>
      </c>
      <c r="R30" s="37"/>
      <c r="S30" s="38"/>
      <c r="T30" s="35"/>
      <c r="U30" s="35"/>
      <c r="V30" s="35"/>
    </row>
    <row r="31" ht="15.75" customHeight="1">
      <c r="A31" s="35" t="str">
        <f>IFERROR(__xludf.DUMMYFUNCTION("""COMPUTED_VALUE"""),"JP")</f>
        <v>JP</v>
      </c>
      <c r="B31" s="35" t="str">
        <f>IFERROR(__xludf.DUMMYFUNCTION("""COMPUTED_VALUE"""),"江井ヶ嶋")</f>
        <v>江井ヶ嶋</v>
      </c>
      <c r="C31" s="35" t="str">
        <f>IFERROR(__xludf.DUMMYFUNCTION("""COMPUTED_VALUE"""),"江井ヶ嶋")</f>
        <v>江井ヶ嶋</v>
      </c>
      <c r="D31" s="35" t="str">
        <f>IFERROR(__xludf.DUMMYFUNCTION("""COMPUTED_VALUE"""),"江井ヶ嶋")</f>
        <v>江井ヶ嶋</v>
      </c>
      <c r="E31" s="35" t="str">
        <f>IFERROR(__xludf.DUMMYFUNCTION("""COMPUTED_VALUE"""),"シングルモルト")</f>
        <v>シングルモルト</v>
      </c>
      <c r="F31" s="35"/>
      <c r="G31" s="35" t="str">
        <f>IFERROR(__xludf.DUMMYFUNCTION("""COMPUTED_VALUE"""),"魚住")</f>
        <v>魚住</v>
      </c>
      <c r="H31" s="35"/>
      <c r="I31" s="35"/>
      <c r="J31" s="35"/>
      <c r="K31" s="35"/>
      <c r="L31" s="35"/>
      <c r="M31" s="35"/>
      <c r="N31" s="36"/>
      <c r="O31" s="35"/>
      <c r="P31" s="37">
        <f>IFERROR(__xludf.DUMMYFUNCTION("""COMPUTED_VALUE"""),2600.0)</f>
        <v>2600</v>
      </c>
      <c r="Q31" s="37">
        <f>IFERROR(__xludf.DUMMYFUNCTION("""COMPUTED_VALUE"""),1400.0)</f>
        <v>1400</v>
      </c>
      <c r="R31" s="37"/>
      <c r="S31" s="38">
        <f>IFERROR(__xludf.DUMMYFUNCTION("""COMPUTED_VALUE"""),45729.0)</f>
        <v>45729</v>
      </c>
      <c r="T31" s="35"/>
      <c r="U31" s="35"/>
      <c r="V31" s="35"/>
    </row>
    <row r="32" ht="15.75" customHeight="1">
      <c r="A32" s="35" t="str">
        <f>IFERROR(__xludf.DUMMYFUNCTION("""COMPUTED_VALUE"""),"JP")</f>
        <v>JP</v>
      </c>
      <c r="B32" s="35" t="str">
        <f>IFERROR(__xludf.DUMMYFUNCTION("""COMPUTED_VALUE"""),"江井ヶ嶋")</f>
        <v>江井ヶ嶋</v>
      </c>
      <c r="C32" s="35" t="str">
        <f>IFERROR(__xludf.DUMMYFUNCTION("""COMPUTED_VALUE"""),"江井ヶ嶋")</f>
        <v>江井ヶ嶋</v>
      </c>
      <c r="D32" s="35"/>
      <c r="E32" s="35" t="str">
        <f>IFERROR(__xludf.DUMMYFUNCTION("""COMPUTED_VALUE"""),"ブレンデッド")</f>
        <v>ブレンデッド</v>
      </c>
      <c r="F32" s="35"/>
      <c r="G32" s="35" t="str">
        <f>IFERROR(__xludf.DUMMYFUNCTION("""COMPUTED_VALUE"""),"シーアンカー")</f>
        <v>シーアンカー</v>
      </c>
      <c r="H32" s="35" t="str">
        <f>IFERROR(__xludf.DUMMYFUNCTION("""COMPUTED_VALUE"""),"for 三菱食品")</f>
        <v>for 三菱食品</v>
      </c>
      <c r="I32" s="35"/>
      <c r="J32" s="35"/>
      <c r="K32" s="35"/>
      <c r="L32" s="35"/>
      <c r="M32" s="35"/>
      <c r="N32" s="36"/>
      <c r="O32" s="35"/>
      <c r="P32" s="37">
        <f>IFERROR(__xludf.DUMMYFUNCTION("""COMPUTED_VALUE"""),900.0)</f>
        <v>900</v>
      </c>
      <c r="Q32" s="37">
        <f>IFERROR(__xludf.DUMMYFUNCTION("""COMPUTED_VALUE"""),550.0)</f>
        <v>550</v>
      </c>
      <c r="R32" s="37"/>
      <c r="S32" s="38"/>
      <c r="T32" s="35"/>
      <c r="U32" s="35"/>
      <c r="V32" s="35"/>
    </row>
    <row r="33" ht="15.75" customHeight="1">
      <c r="A33" s="35" t="str">
        <f>IFERROR(__xludf.DUMMYFUNCTION("""COMPUTED_VALUE"""),"JP")</f>
        <v>JP</v>
      </c>
      <c r="B33" s="35" t="str">
        <f>IFERROR(__xludf.DUMMYFUNCTION("""COMPUTED_VALUE"""),"江井ヶ嶋")</f>
        <v>江井ヶ嶋</v>
      </c>
      <c r="C33" s="35" t="str">
        <f>IFERROR(__xludf.DUMMYFUNCTION("""COMPUTED_VALUE"""),"江井ヶ嶋")</f>
        <v>江井ヶ嶋</v>
      </c>
      <c r="D33" s="35"/>
      <c r="E33" s="35" t="str">
        <f>IFERROR(__xludf.DUMMYFUNCTION("""COMPUTED_VALUE"""),"ブレンデッド")</f>
        <v>ブレンデッド</v>
      </c>
      <c r="F33" s="35"/>
      <c r="G33" s="35" t="str">
        <f>IFERROR(__xludf.DUMMYFUNCTION("""COMPUTED_VALUE"""),"シーフロント")</f>
        <v>シーフロント</v>
      </c>
      <c r="H33" s="35" t="str">
        <f>IFERROR(__xludf.DUMMYFUNCTION("""COMPUTED_VALUE"""),"for 三菱食品")</f>
        <v>for 三菱食品</v>
      </c>
      <c r="I33" s="35"/>
      <c r="J33" s="35"/>
      <c r="K33" s="35"/>
      <c r="L33" s="35"/>
      <c r="M33" s="35"/>
      <c r="N33" s="36"/>
      <c r="O33" s="35"/>
      <c r="P33" s="37">
        <f>IFERROR(__xludf.DUMMYFUNCTION("""COMPUTED_VALUE"""),900.0)</f>
        <v>900</v>
      </c>
      <c r="Q33" s="37">
        <f>IFERROR(__xludf.DUMMYFUNCTION("""COMPUTED_VALUE"""),550.0)</f>
        <v>550</v>
      </c>
      <c r="R33" s="37"/>
      <c r="S33" s="38"/>
      <c r="T33" s="35"/>
      <c r="U33" s="35"/>
      <c r="V33" s="35"/>
    </row>
    <row r="34" ht="15.75" customHeight="1">
      <c r="A34" s="35" t="str">
        <f>IFERROR(__xludf.DUMMYFUNCTION("""COMPUTED_VALUE"""),"JP")</f>
        <v>JP</v>
      </c>
      <c r="B34" s="35" t="str">
        <f>IFERROR(__xludf.DUMMYFUNCTION("""COMPUTED_VALUE"""),"江井ヶ嶋")</f>
        <v>江井ヶ嶋</v>
      </c>
      <c r="C34" s="35" t="str">
        <f>IFERROR(__xludf.DUMMYFUNCTION("""COMPUTED_VALUE"""),"江井ヶ嶋")</f>
        <v>江井ヶ嶋</v>
      </c>
      <c r="D34" s="35"/>
      <c r="E34" s="35" t="str">
        <f>IFERROR(__xludf.DUMMYFUNCTION("""COMPUTED_VALUE"""),"ブレンデッド")</f>
        <v>ブレンデッド</v>
      </c>
      <c r="F34" s="35"/>
      <c r="G34" s="35" t="str">
        <f>IFERROR(__xludf.DUMMYFUNCTION("""COMPUTED_VALUE"""),"ブレンディッド江井ヶ嶋 シェリーカスクフィニッシュ")</f>
        <v>ブレンディッド江井ヶ嶋 シェリーカスクフィニッシュ</v>
      </c>
      <c r="H34" s="35"/>
      <c r="I34" s="35"/>
      <c r="J34" s="35"/>
      <c r="K34" s="35"/>
      <c r="L34" s="35" t="str">
        <f>IFERROR(__xludf.DUMMYFUNCTION("""COMPUTED_VALUE"""),"✓")</f>
        <v>✓</v>
      </c>
      <c r="M34" s="35"/>
      <c r="N34" s="36"/>
      <c r="O34" s="35"/>
      <c r="P34" s="37">
        <f>IFERROR(__xludf.DUMMYFUNCTION("""COMPUTED_VALUE"""),1100.0)</f>
        <v>1100</v>
      </c>
      <c r="Q34" s="37">
        <f>IFERROR(__xludf.DUMMYFUNCTION("""COMPUTED_VALUE"""),650.0)</f>
        <v>650</v>
      </c>
      <c r="R34" s="37"/>
      <c r="S34" s="38"/>
      <c r="T34" s="35"/>
      <c r="U34" s="35"/>
      <c r="V34" s="35"/>
    </row>
    <row r="35" ht="15.75" customHeight="1">
      <c r="A35" s="35" t="str">
        <f>IFERROR(__xludf.DUMMYFUNCTION("""COMPUTED_VALUE"""),"JP")</f>
        <v>JP</v>
      </c>
      <c r="B35" s="35" t="str">
        <f>IFERROR(__xludf.DUMMYFUNCTION("""COMPUTED_VALUE"""),"江井ヶ嶋")</f>
        <v>江井ヶ嶋</v>
      </c>
      <c r="C35" s="35" t="str">
        <f>IFERROR(__xludf.DUMMYFUNCTION("""COMPUTED_VALUE"""),"江井ヶ嶋")</f>
        <v>江井ヶ嶋</v>
      </c>
      <c r="D35" s="35"/>
      <c r="E35" s="35" t="str">
        <f>IFERROR(__xludf.DUMMYFUNCTION("""COMPUTED_VALUE"""),"ブレンデッドモルト")</f>
        <v>ブレンデッドモルト</v>
      </c>
      <c r="F35" s="35"/>
      <c r="G35" s="35" t="str">
        <f>IFERROR(__xludf.DUMMYFUNCTION("""COMPUTED_VALUE"""),"あかし ダブルブレンダーズ モルトハーモニー")</f>
        <v>あかし ダブルブレンダーズ モルトハーモニー</v>
      </c>
      <c r="H35" s="35"/>
      <c r="I35" s="35"/>
      <c r="J35" s="35"/>
      <c r="K35" s="35"/>
      <c r="L35" s="35"/>
      <c r="M35" s="35"/>
      <c r="N35" s="36"/>
      <c r="O35" s="35"/>
      <c r="P35" s="37">
        <f>IFERROR(__xludf.DUMMYFUNCTION("""COMPUTED_VALUE"""),1800.0)</f>
        <v>1800</v>
      </c>
      <c r="Q35" s="37">
        <f>IFERROR(__xludf.DUMMYFUNCTION("""COMPUTED_VALUE"""),1000.0)</f>
        <v>1000</v>
      </c>
      <c r="R35" s="37"/>
      <c r="S35" s="38">
        <f>IFERROR(__xludf.DUMMYFUNCTION("""COMPUTED_VALUE"""),45390.0)</f>
        <v>45390</v>
      </c>
      <c r="T35" s="35"/>
      <c r="U35" s="35"/>
      <c r="V35" s="35"/>
    </row>
    <row r="36" ht="15.75" customHeight="1">
      <c r="A36" s="35" t="str">
        <f>IFERROR(__xludf.DUMMYFUNCTION("""COMPUTED_VALUE"""),"JP")</f>
        <v>JP</v>
      </c>
      <c r="B36" s="35" t="str">
        <f>IFERROR(__xludf.DUMMYFUNCTION("""COMPUTED_VALUE"""),"江井ヶ嶋")</f>
        <v>江井ヶ嶋</v>
      </c>
      <c r="C36" s="35" t="str">
        <f>IFERROR(__xludf.DUMMYFUNCTION("""COMPUTED_VALUE"""),"江井ヶ嶋")</f>
        <v>江井ヶ嶋</v>
      </c>
      <c r="D36" s="35"/>
      <c r="E36" s="35" t="str">
        <f>IFERROR(__xludf.DUMMYFUNCTION("""COMPUTED_VALUE"""),"ブレンデッドモルト")</f>
        <v>ブレンデッドモルト</v>
      </c>
      <c r="F36" s="35"/>
      <c r="G36" s="35" t="str">
        <f>IFERROR(__xludf.DUMMYFUNCTION("""COMPUTED_VALUE"""),"あかしピュアモルト ダブルディスティラリーズ")</f>
        <v>あかしピュアモルト ダブルディスティラリーズ</v>
      </c>
      <c r="H36" s="35"/>
      <c r="I36" s="35"/>
      <c r="J36" s="35"/>
      <c r="K36" s="35"/>
      <c r="L36" s="35"/>
      <c r="M36" s="35"/>
      <c r="N36" s="36"/>
      <c r="O36" s="35"/>
      <c r="P36" s="37">
        <f>IFERROR(__xludf.DUMMYFUNCTION("""COMPUTED_VALUE"""),2200.0)</f>
        <v>2200</v>
      </c>
      <c r="Q36" s="37">
        <f>IFERROR(__xludf.DUMMYFUNCTION("""COMPUTED_VALUE"""),1200.0)</f>
        <v>1200</v>
      </c>
      <c r="R36" s="37"/>
      <c r="S36" s="38">
        <f>IFERROR(__xludf.DUMMYFUNCTION("""COMPUTED_VALUE"""),45168.0)</f>
        <v>45168</v>
      </c>
      <c r="T36" s="35"/>
      <c r="U36" s="35"/>
      <c r="V36" s="35"/>
    </row>
    <row r="37" ht="15.75" customHeight="1">
      <c r="A37" s="35" t="str">
        <f>IFERROR(__xludf.DUMMYFUNCTION("""COMPUTED_VALUE"""),"JP")</f>
        <v>JP</v>
      </c>
      <c r="B37" s="35" t="str">
        <f>IFERROR(__xludf.DUMMYFUNCTION("""COMPUTED_VALUE"""),"笹の川")</f>
        <v>笹の川</v>
      </c>
      <c r="C37" s="35" t="str">
        <f>IFERROR(__xludf.DUMMYFUNCTION("""COMPUTED_VALUE"""),"笹の川")</f>
        <v>笹の川</v>
      </c>
      <c r="D37" s="35" t="str">
        <f>IFERROR(__xludf.DUMMYFUNCTION("""COMPUTED_VALUE"""),"安積")</f>
        <v>安積</v>
      </c>
      <c r="E37" s="35" t="str">
        <f>IFERROR(__xludf.DUMMYFUNCTION("""COMPUTED_VALUE"""),"シングルカスク")</f>
        <v>シングルカスク</v>
      </c>
      <c r="F37" s="35" t="str">
        <f>IFERROR(__xludf.DUMMYFUNCTION("""COMPUTED_VALUE"""),"#19052")</f>
        <v>#19052</v>
      </c>
      <c r="G37" s="35" t="str">
        <f>IFERROR(__xludf.DUMMYFUNCTION("""COMPUTED_VALUE"""),"安積 ザ・イチイ")</f>
        <v>安積 ザ・イチイ</v>
      </c>
      <c r="H37" s="35" t="str">
        <f>IFERROR(__xludf.DUMMYFUNCTION("""COMPUTED_VALUE"""),"for (株)いちい")</f>
        <v>for (株)いちい</v>
      </c>
      <c r="I37" s="35"/>
      <c r="J37" s="35"/>
      <c r="K37" s="35"/>
      <c r="L37" s="35"/>
      <c r="M37" s="35"/>
      <c r="N37" s="36"/>
      <c r="O37" s="35"/>
      <c r="P37" s="37">
        <f>IFERROR(__xludf.DUMMYFUNCTION("""COMPUTED_VALUE"""),3000.0)</f>
        <v>3000</v>
      </c>
      <c r="Q37" s="37">
        <f>IFERROR(__xludf.DUMMYFUNCTION("""COMPUTED_VALUE"""),1600.0)</f>
        <v>1600</v>
      </c>
      <c r="R37" s="37"/>
      <c r="S37" s="38">
        <f>IFERROR(__xludf.DUMMYFUNCTION("""COMPUTED_VALUE"""),45652.0)</f>
        <v>45652</v>
      </c>
      <c r="T37" s="35"/>
      <c r="U37" s="35"/>
      <c r="V37" s="35"/>
    </row>
    <row r="38" ht="15.75" customHeight="1">
      <c r="A38" s="35" t="str">
        <f>IFERROR(__xludf.DUMMYFUNCTION("""COMPUTED_VALUE"""),"JP")</f>
        <v>JP</v>
      </c>
      <c r="B38" s="35" t="str">
        <f>IFERROR(__xludf.DUMMYFUNCTION("""COMPUTED_VALUE"""),"笹の川")</f>
        <v>笹の川</v>
      </c>
      <c r="C38" s="35" t="str">
        <f>IFERROR(__xludf.DUMMYFUNCTION("""COMPUTED_VALUE"""),"笹の川")</f>
        <v>笹の川</v>
      </c>
      <c r="D38" s="35" t="str">
        <f>IFERROR(__xludf.DUMMYFUNCTION("""COMPUTED_VALUE"""),"安積")</f>
        <v>安積</v>
      </c>
      <c r="E38" s="35" t="str">
        <f>IFERROR(__xludf.DUMMYFUNCTION("""COMPUTED_VALUE"""),"シングルモルト")</f>
        <v>シングルモルト</v>
      </c>
      <c r="F38" s="35"/>
      <c r="G38" s="35" t="str">
        <f>IFERROR(__xludf.DUMMYFUNCTION("""COMPUTED_VALUE"""),"安積 2022エディション")</f>
        <v>安積 2022エディション</v>
      </c>
      <c r="H38" s="35"/>
      <c r="I38" s="35"/>
      <c r="J38" s="35"/>
      <c r="K38" s="35"/>
      <c r="L38" s="35" t="str">
        <f>IFERROR(__xludf.DUMMYFUNCTION("""COMPUTED_VALUE"""),"✓")</f>
        <v>✓</v>
      </c>
      <c r="M38" s="35"/>
      <c r="N38" s="36"/>
      <c r="O38" s="35"/>
      <c r="P38" s="37">
        <f>IFERROR(__xludf.DUMMYFUNCTION("""COMPUTED_VALUE"""),2200.0)</f>
        <v>2200</v>
      </c>
      <c r="Q38" s="37">
        <f>IFERROR(__xludf.DUMMYFUNCTION("""COMPUTED_VALUE"""),1200.0)</f>
        <v>1200</v>
      </c>
      <c r="R38" s="37"/>
      <c r="S38" s="38">
        <f>IFERROR(__xludf.DUMMYFUNCTION("""COMPUTED_VALUE"""),45279.0)</f>
        <v>45279</v>
      </c>
      <c r="T38" s="35"/>
      <c r="U38" s="35"/>
      <c r="V38" s="35"/>
    </row>
    <row r="39" ht="15.75" customHeight="1">
      <c r="A39" s="35" t="str">
        <f>IFERROR(__xludf.DUMMYFUNCTION("""COMPUTED_VALUE"""),"JP")</f>
        <v>JP</v>
      </c>
      <c r="B39" s="35" t="str">
        <f>IFERROR(__xludf.DUMMYFUNCTION("""COMPUTED_VALUE"""),"笹の川")</f>
        <v>笹の川</v>
      </c>
      <c r="C39" s="35" t="str">
        <f>IFERROR(__xludf.DUMMYFUNCTION("""COMPUTED_VALUE"""),"笹の川")</f>
        <v>笹の川</v>
      </c>
      <c r="D39" s="35" t="str">
        <f>IFERROR(__xludf.DUMMYFUNCTION("""COMPUTED_VALUE"""),"安積")</f>
        <v>安積</v>
      </c>
      <c r="E39" s="35" t="str">
        <f>IFERROR(__xludf.DUMMYFUNCTION("""COMPUTED_VALUE"""),"シングルモルト")</f>
        <v>シングルモルト</v>
      </c>
      <c r="F39" s="35"/>
      <c r="G39" s="35" t="str">
        <f>IFERROR(__xludf.DUMMYFUNCTION("""COMPUTED_VALUE"""),"安積 ザ・ファースト ピーテッド")</f>
        <v>安積 ザ・ファースト ピーテッド</v>
      </c>
      <c r="H39" s="35"/>
      <c r="I39" s="35"/>
      <c r="J39" s="35"/>
      <c r="K39" s="35"/>
      <c r="L39" s="35"/>
      <c r="M39" s="35"/>
      <c r="N39" s="36"/>
      <c r="O39" s="35"/>
      <c r="P39" s="37">
        <f>IFERROR(__xludf.DUMMYFUNCTION("""COMPUTED_VALUE"""),2400.0)</f>
        <v>2400</v>
      </c>
      <c r="Q39" s="37">
        <f>IFERROR(__xludf.DUMMYFUNCTION("""COMPUTED_VALUE"""),1300.0)</f>
        <v>1300</v>
      </c>
      <c r="R39" s="37"/>
      <c r="S39" s="38"/>
      <c r="T39" s="35"/>
      <c r="U39" s="35"/>
      <c r="V39" s="35"/>
    </row>
    <row r="40" ht="15.75" customHeight="1">
      <c r="A40" s="35" t="str">
        <f>IFERROR(__xludf.DUMMYFUNCTION("""COMPUTED_VALUE"""),"JP")</f>
        <v>JP</v>
      </c>
      <c r="B40" s="35" t="str">
        <f>IFERROR(__xludf.DUMMYFUNCTION("""COMPUTED_VALUE"""),"笹の川")</f>
        <v>笹の川</v>
      </c>
      <c r="C40" s="35" t="str">
        <f>IFERROR(__xludf.DUMMYFUNCTION("""COMPUTED_VALUE"""),"福島県南酒販")</f>
        <v>福島県南酒販</v>
      </c>
      <c r="D40" s="35"/>
      <c r="E40" s="35" t="str">
        <f>IFERROR(__xludf.DUMMYFUNCTION("""COMPUTED_VALUE"""),"ブレンデッド")</f>
        <v>ブレンデッド</v>
      </c>
      <c r="F40" s="35"/>
      <c r="G40" s="35" t="str">
        <f>IFERROR(__xludf.DUMMYFUNCTION("""COMPUTED_VALUE"""),"963 ミズナラウッドフィニッシュ")</f>
        <v>963 ミズナラウッドフィニッシュ</v>
      </c>
      <c r="H40" s="35"/>
      <c r="I40" s="35"/>
      <c r="J40" s="35"/>
      <c r="K40" s="35"/>
      <c r="L40" s="35"/>
      <c r="M40" s="35"/>
      <c r="N40" s="36"/>
      <c r="O40" s="35"/>
      <c r="P40" s="37">
        <f>IFERROR(__xludf.DUMMYFUNCTION("""COMPUTED_VALUE"""),2000.0)</f>
        <v>2000</v>
      </c>
      <c r="Q40" s="37">
        <f>IFERROR(__xludf.DUMMYFUNCTION("""COMPUTED_VALUE"""),1100.0)</f>
        <v>1100</v>
      </c>
      <c r="R40" s="37"/>
      <c r="S40" s="38">
        <f>IFERROR(__xludf.DUMMYFUNCTION("""COMPUTED_VALUE"""),45694.0)</f>
        <v>45694</v>
      </c>
      <c r="T40" s="35"/>
      <c r="U40" s="35"/>
      <c r="V40" s="35"/>
    </row>
    <row r="41" ht="15.75" customHeight="1">
      <c r="A41" s="35" t="str">
        <f>IFERROR(__xludf.DUMMYFUNCTION("""COMPUTED_VALUE"""),"JP")</f>
        <v>JP</v>
      </c>
      <c r="B41" s="35" t="str">
        <f>IFERROR(__xludf.DUMMYFUNCTION("""COMPUTED_VALUE"""),"笹の川")</f>
        <v>笹の川</v>
      </c>
      <c r="C41" s="35" t="str">
        <f>IFERROR(__xludf.DUMMYFUNCTION("""COMPUTED_VALUE"""),"福島県南酒販")</f>
        <v>福島県南酒販</v>
      </c>
      <c r="D41" s="35"/>
      <c r="E41" s="35" t="str">
        <f>IFERROR(__xludf.DUMMYFUNCTION("""COMPUTED_VALUE"""),"ブレンデッド")</f>
        <v>ブレンデッド</v>
      </c>
      <c r="F41" s="35"/>
      <c r="G41" s="35" t="str">
        <f>IFERROR(__xludf.DUMMYFUNCTION("""COMPUTED_VALUE"""),"963 アクシス パロ・コルタド シェリーカスクフィニッシュ")</f>
        <v>963 アクシス パロ・コルタド シェリーカスクフィニッシュ</v>
      </c>
      <c r="H41" s="35"/>
      <c r="I41" s="35"/>
      <c r="J41" s="35"/>
      <c r="K41" s="35"/>
      <c r="L41" s="35"/>
      <c r="M41" s="35"/>
      <c r="N41" s="36"/>
      <c r="O41" s="35"/>
      <c r="P41" s="37">
        <f>IFERROR(__xludf.DUMMYFUNCTION("""COMPUTED_VALUE"""),1800.0)</f>
        <v>1800</v>
      </c>
      <c r="Q41" s="37">
        <f>IFERROR(__xludf.DUMMYFUNCTION("""COMPUTED_VALUE"""),1000.0)</f>
        <v>1000</v>
      </c>
      <c r="R41" s="37"/>
      <c r="S41" s="38">
        <f>IFERROR(__xludf.DUMMYFUNCTION("""COMPUTED_VALUE"""),45691.0)</f>
        <v>45691</v>
      </c>
      <c r="T41" s="35"/>
      <c r="U41" s="35"/>
      <c r="V41" s="35"/>
    </row>
    <row r="42" ht="15.75" customHeight="1">
      <c r="A42" s="35" t="str">
        <f>IFERROR(__xludf.DUMMYFUNCTION("""COMPUTED_VALUE"""),"JP")</f>
        <v>JP</v>
      </c>
      <c r="B42" s="35" t="str">
        <f>IFERROR(__xludf.DUMMYFUNCTION("""COMPUTED_VALUE"""),"笹の川")</f>
        <v>笹の川</v>
      </c>
      <c r="C42" s="35" t="str">
        <f>IFERROR(__xludf.DUMMYFUNCTION("""COMPUTED_VALUE"""),"福島県南酒販")</f>
        <v>福島県南酒販</v>
      </c>
      <c r="D42" s="35"/>
      <c r="E42" s="35" t="str">
        <f>IFERROR(__xludf.DUMMYFUNCTION("""COMPUTED_VALUE"""),"ブレンデッドモルト")</f>
        <v>ブレンデッドモルト</v>
      </c>
      <c r="F42" s="35"/>
      <c r="G42" s="35" t="str">
        <f>IFERROR(__xludf.DUMMYFUNCTION("""COMPUTED_VALUE"""),"963 8年 ブレンデッドモルト")</f>
        <v>963 8年 ブレンデッドモルト</v>
      </c>
      <c r="H42" s="35"/>
      <c r="I42" s="35"/>
      <c r="J42" s="35"/>
      <c r="K42" s="35"/>
      <c r="L42" s="35"/>
      <c r="M42" s="35"/>
      <c r="N42" s="36"/>
      <c r="O42" s="35"/>
      <c r="P42" s="37">
        <f>IFERROR(__xludf.DUMMYFUNCTION("""COMPUTED_VALUE"""),2200.0)</f>
        <v>2200</v>
      </c>
      <c r="Q42" s="37">
        <f>IFERROR(__xludf.DUMMYFUNCTION("""COMPUTED_VALUE"""),1200.0)</f>
        <v>1200</v>
      </c>
      <c r="R42" s="37"/>
      <c r="S42" s="38">
        <f>IFERROR(__xludf.DUMMYFUNCTION("""COMPUTED_VALUE"""),45692.0)</f>
        <v>45692</v>
      </c>
      <c r="T42" s="35"/>
      <c r="U42" s="35"/>
      <c r="V42" s="35"/>
    </row>
    <row r="43" ht="15.75" customHeight="1">
      <c r="A43" s="35" t="str">
        <f>IFERROR(__xludf.DUMMYFUNCTION("""COMPUTED_VALUE"""),"JP")</f>
        <v>JP</v>
      </c>
      <c r="B43" s="35" t="str">
        <f>IFERROR(__xludf.DUMMYFUNCTION("""COMPUTED_VALUE"""),"笹の川")</f>
        <v>笹の川</v>
      </c>
      <c r="C43" s="35" t="str">
        <f>IFERROR(__xludf.DUMMYFUNCTION("""COMPUTED_VALUE"""),"福島県南酒販")</f>
        <v>福島県南酒販</v>
      </c>
      <c r="D43" s="35"/>
      <c r="E43" s="35" t="str">
        <f>IFERROR(__xludf.DUMMYFUNCTION("""COMPUTED_VALUE"""),"ブレンデッドモルト")</f>
        <v>ブレンデッドモルト</v>
      </c>
      <c r="F43" s="35"/>
      <c r="G43" s="35" t="str">
        <f>IFERROR(__xludf.DUMMYFUNCTION("""COMPUTED_VALUE"""),"963 17年 ミズナラウッドフィニッシュ")</f>
        <v>963 17年 ミズナラウッドフィニッシュ</v>
      </c>
      <c r="H43" s="35"/>
      <c r="I43" s="35"/>
      <c r="J43" s="35"/>
      <c r="K43" s="35"/>
      <c r="L43" s="35"/>
      <c r="M43" s="35"/>
      <c r="N43" s="36"/>
      <c r="O43" s="35"/>
      <c r="P43" s="37">
        <f>IFERROR(__xludf.DUMMYFUNCTION("""COMPUTED_VALUE"""),2000.0)</f>
        <v>2000</v>
      </c>
      <c r="Q43" s="37">
        <f>IFERROR(__xludf.DUMMYFUNCTION("""COMPUTED_VALUE"""),1100.0)</f>
        <v>1100</v>
      </c>
      <c r="R43" s="37"/>
      <c r="S43" s="38">
        <f>IFERROR(__xludf.DUMMYFUNCTION("""COMPUTED_VALUE"""),45693.0)</f>
        <v>45693</v>
      </c>
      <c r="T43" s="35"/>
      <c r="U43" s="35"/>
      <c r="V43" s="35"/>
    </row>
    <row r="44" ht="15.75" customHeight="1">
      <c r="A44" s="35" t="str">
        <f>IFERROR(__xludf.DUMMYFUNCTION("""COMPUTED_VALUE"""),"JP")</f>
        <v>JP</v>
      </c>
      <c r="B44" s="35" t="str">
        <f>IFERROR(__xludf.DUMMYFUNCTION("""COMPUTED_VALUE"""),"笹の川")</f>
        <v>笹の川</v>
      </c>
      <c r="C44" s="35" t="str">
        <f>IFERROR(__xludf.DUMMYFUNCTION("""COMPUTED_VALUE"""),"福島県南酒販")</f>
        <v>福島県南酒販</v>
      </c>
      <c r="D44" s="35"/>
      <c r="E44" s="35" t="str">
        <f>IFERROR(__xludf.DUMMYFUNCTION("""COMPUTED_VALUE"""),"ブレンデッド")</f>
        <v>ブレンデッド</v>
      </c>
      <c r="F44" s="35"/>
      <c r="G44" s="35" t="str">
        <f>IFERROR(__xludf.DUMMYFUNCTION("""COMPUTED_VALUE"""),"963 21年 ファインブレンデッド ")</f>
        <v>963 21年 ファインブレンデッド </v>
      </c>
      <c r="H44" s="35"/>
      <c r="I44" s="35"/>
      <c r="J44" s="35"/>
      <c r="K44" s="35"/>
      <c r="L44" s="35"/>
      <c r="M44" s="35"/>
      <c r="N44" s="36"/>
      <c r="O44" s="35"/>
      <c r="P44" s="37">
        <f>IFERROR(__xludf.DUMMYFUNCTION("""COMPUTED_VALUE"""),2800.0)</f>
        <v>2800</v>
      </c>
      <c r="Q44" s="37">
        <f>IFERROR(__xludf.DUMMYFUNCTION("""COMPUTED_VALUE"""),1500.0)</f>
        <v>1500</v>
      </c>
      <c r="R44" s="37"/>
      <c r="S44" s="38">
        <f>IFERROR(__xludf.DUMMYFUNCTION("""COMPUTED_VALUE"""),45697.0)</f>
        <v>45697</v>
      </c>
      <c r="T44" s="35"/>
      <c r="U44" s="35"/>
      <c r="V44" s="35"/>
    </row>
    <row r="45" ht="15.75" customHeight="1">
      <c r="A45" s="35" t="str">
        <f>IFERROR(__xludf.DUMMYFUNCTION("""COMPUTED_VALUE"""),"JP")</f>
        <v>JP</v>
      </c>
      <c r="B45" s="35" t="str">
        <f>IFERROR(__xludf.DUMMYFUNCTION("""COMPUTED_VALUE"""),"笹の川")</f>
        <v>笹の川</v>
      </c>
      <c r="C45" s="35" t="str">
        <f>IFERROR(__xludf.DUMMYFUNCTION("""COMPUTED_VALUE"""),"笹の川")</f>
        <v>笹の川</v>
      </c>
      <c r="D45" s="35"/>
      <c r="E45" s="35" t="str">
        <f>IFERROR(__xludf.DUMMYFUNCTION("""COMPUTED_VALUE"""),"ブレンデッドモルト")</f>
        <v>ブレンデッドモルト</v>
      </c>
      <c r="F45" s="35"/>
      <c r="G45" s="35" t="str">
        <f>IFERROR(__xludf.DUMMYFUNCTION("""COMPUTED_VALUE"""),"山桜 ピュアモルト")</f>
        <v>山桜 ピュアモルト</v>
      </c>
      <c r="H45" s="35"/>
      <c r="I45" s="35"/>
      <c r="J45" s="35"/>
      <c r="K45" s="35"/>
      <c r="L45" s="35"/>
      <c r="M45" s="35"/>
      <c r="N45" s="36"/>
      <c r="O45" s="35"/>
      <c r="P45" s="37">
        <f>IFERROR(__xludf.DUMMYFUNCTION("""COMPUTED_VALUE"""),1200.0)</f>
        <v>1200</v>
      </c>
      <c r="Q45" s="37">
        <f>IFERROR(__xludf.DUMMYFUNCTION("""COMPUTED_VALUE"""),700.0)</f>
        <v>700</v>
      </c>
      <c r="R45" s="37"/>
      <c r="S45" s="38"/>
      <c r="T45" s="35"/>
      <c r="U45" s="35"/>
      <c r="V45" s="35"/>
    </row>
    <row r="46" ht="15.75" customHeight="1">
      <c r="A46" s="35" t="str">
        <f>IFERROR(__xludf.DUMMYFUNCTION("""COMPUTED_VALUE"""),"JP")</f>
        <v>JP</v>
      </c>
      <c r="B46" s="35" t="str">
        <f>IFERROR(__xludf.DUMMYFUNCTION("""COMPUTED_VALUE"""),"笹の川")</f>
        <v>笹の川</v>
      </c>
      <c r="C46" s="35" t="str">
        <f>IFERROR(__xludf.DUMMYFUNCTION("""COMPUTED_VALUE"""),"笹の川")</f>
        <v>笹の川</v>
      </c>
      <c r="D46" s="35"/>
      <c r="E46" s="35" t="str">
        <f>IFERROR(__xludf.DUMMYFUNCTION("""COMPUTED_VALUE"""),"ブレンデッドモルト")</f>
        <v>ブレンデッドモルト</v>
      </c>
      <c r="F46" s="35"/>
      <c r="G46" s="35" t="str">
        <f>IFERROR(__xludf.DUMMYFUNCTION("""COMPUTED_VALUE"""),"山桜 9年 カスクストレングス")</f>
        <v>山桜 9年 カスクストレングス</v>
      </c>
      <c r="H46" s="35"/>
      <c r="I46" s="35"/>
      <c r="J46" s="35"/>
      <c r="K46" s="35"/>
      <c r="L46" s="35"/>
      <c r="M46" s="35"/>
      <c r="N46" s="36"/>
      <c r="O46" s="35"/>
      <c r="P46" s="37">
        <f>IFERROR(__xludf.DUMMYFUNCTION("""COMPUTED_VALUE"""),2800.0)</f>
        <v>2800</v>
      </c>
      <c r="Q46" s="37">
        <f>IFERROR(__xludf.DUMMYFUNCTION("""COMPUTED_VALUE"""),1500.0)</f>
        <v>1500</v>
      </c>
      <c r="R46" s="37"/>
      <c r="S46" s="38">
        <f>IFERROR(__xludf.DUMMYFUNCTION("""COMPUTED_VALUE"""),44996.0)</f>
        <v>44996</v>
      </c>
      <c r="T46" s="35"/>
      <c r="U46" s="35"/>
      <c r="V46" s="35"/>
    </row>
    <row r="47" ht="15.75" customHeight="1">
      <c r="A47" s="35" t="str">
        <f>IFERROR(__xludf.DUMMYFUNCTION("""COMPUTED_VALUE"""),"JP")</f>
        <v>JP</v>
      </c>
      <c r="B47" s="35" t="str">
        <f>IFERROR(__xludf.DUMMYFUNCTION("""COMPUTED_VALUE"""),"笹の川")</f>
        <v>笹の川</v>
      </c>
      <c r="C47" s="35" t="str">
        <f>IFERROR(__xludf.DUMMYFUNCTION("""COMPUTED_VALUE"""),"笹の川")</f>
        <v>笹の川</v>
      </c>
      <c r="D47" s="35"/>
      <c r="E47" s="35" t="str">
        <f>IFERROR(__xludf.DUMMYFUNCTION("""COMPUTED_VALUE"""),"ブレンデッドモルト")</f>
        <v>ブレンデッドモルト</v>
      </c>
      <c r="F47" s="35"/>
      <c r="G47" s="35" t="str">
        <f>IFERROR(__xludf.DUMMYFUNCTION("""COMPUTED_VALUE"""),"山桜 15年 カスクストレングス")</f>
        <v>山桜 15年 カスクストレングス</v>
      </c>
      <c r="H47" s="35"/>
      <c r="I47" s="35"/>
      <c r="J47" s="35"/>
      <c r="K47" s="35"/>
      <c r="L47" s="35"/>
      <c r="M47" s="35"/>
      <c r="N47" s="36"/>
      <c r="O47" s="35"/>
      <c r="P47" s="37">
        <f>IFERROR(__xludf.DUMMYFUNCTION("""COMPUTED_VALUE"""),3000.0)</f>
        <v>3000</v>
      </c>
      <c r="Q47" s="37">
        <f>IFERROR(__xludf.DUMMYFUNCTION("""COMPUTED_VALUE"""),1600.0)</f>
        <v>1600</v>
      </c>
      <c r="R47" s="37"/>
      <c r="S47" s="38">
        <f>IFERROR(__xludf.DUMMYFUNCTION("""COMPUTED_VALUE"""),44944.0)</f>
        <v>44944</v>
      </c>
      <c r="T47" s="35"/>
      <c r="U47" s="35"/>
      <c r="V47" s="35"/>
    </row>
    <row r="48" ht="15.75" customHeight="1">
      <c r="A48" s="35" t="str">
        <f>IFERROR(__xludf.DUMMYFUNCTION("""COMPUTED_VALUE"""),"JP")</f>
        <v>JP</v>
      </c>
      <c r="B48" s="35" t="str">
        <f>IFERROR(__xludf.DUMMYFUNCTION("""COMPUTED_VALUE"""),"笹の川")</f>
        <v>笹の川</v>
      </c>
      <c r="C48" s="35" t="str">
        <f>IFERROR(__xludf.DUMMYFUNCTION("""COMPUTED_VALUE"""),"笹の川")</f>
        <v>笹の川</v>
      </c>
      <c r="D48" s="35"/>
      <c r="E48" s="35" t="str">
        <f>IFERROR(__xludf.DUMMYFUNCTION("""COMPUTED_VALUE"""),"ブレンデッド")</f>
        <v>ブレンデッド</v>
      </c>
      <c r="F48" s="35"/>
      <c r="G48" s="35" t="str">
        <f>IFERROR(__xludf.DUMMYFUNCTION("""COMPUTED_VALUE"""),"山桜 黒ラベル")</f>
        <v>山桜 黒ラベル</v>
      </c>
      <c r="H48" s="35"/>
      <c r="I48" s="35"/>
      <c r="J48" s="35"/>
      <c r="K48" s="35"/>
      <c r="L48" s="35" t="str">
        <f>IFERROR(__xludf.DUMMYFUNCTION("""COMPUTED_VALUE"""),"✓")</f>
        <v>✓</v>
      </c>
      <c r="M48" s="35"/>
      <c r="N48" s="36"/>
      <c r="O48" s="35"/>
      <c r="P48" s="37">
        <f>IFERROR(__xludf.DUMMYFUNCTION("""COMPUTED_VALUE"""),900.0)</f>
        <v>900</v>
      </c>
      <c r="Q48" s="37">
        <f>IFERROR(__xludf.DUMMYFUNCTION("""COMPUTED_VALUE"""),550.0)</f>
        <v>550</v>
      </c>
      <c r="R48" s="37"/>
      <c r="S48" s="38"/>
      <c r="T48" s="35"/>
      <c r="U48" s="35"/>
      <c r="V48" s="35"/>
    </row>
    <row r="49" ht="15.75" customHeight="1">
      <c r="A49" s="35" t="str">
        <f>IFERROR(__xludf.DUMMYFUNCTION("""COMPUTED_VALUE"""),"JP")</f>
        <v>JP</v>
      </c>
      <c r="B49" s="35" t="str">
        <f>IFERROR(__xludf.DUMMYFUNCTION("""COMPUTED_VALUE"""),"笹の川")</f>
        <v>笹の川</v>
      </c>
      <c r="C49" s="35" t="str">
        <f>IFERROR(__xludf.DUMMYFUNCTION("""COMPUTED_VALUE"""),"笹の川")</f>
        <v>笹の川</v>
      </c>
      <c r="D49" s="35"/>
      <c r="E49" s="35" t="str">
        <f>IFERROR(__xludf.DUMMYFUNCTION("""COMPUTED_VALUE"""),"ブレンデッド")</f>
        <v>ブレンデッド</v>
      </c>
      <c r="F49" s="35"/>
      <c r="G49" s="35" t="str">
        <f>IFERROR(__xludf.DUMMYFUNCTION("""COMPUTED_VALUE"""),"山桜プレミアム")</f>
        <v>山桜プレミアム</v>
      </c>
      <c r="H49" s="35"/>
      <c r="I49" s="35"/>
      <c r="J49" s="35"/>
      <c r="K49" s="35"/>
      <c r="L49" s="35"/>
      <c r="M49" s="35"/>
      <c r="N49" s="36"/>
      <c r="O49" s="35"/>
      <c r="P49" s="37">
        <f>IFERROR(__xludf.DUMMYFUNCTION("""COMPUTED_VALUE"""),1100.0)</f>
        <v>1100</v>
      </c>
      <c r="Q49" s="37">
        <f>IFERROR(__xludf.DUMMYFUNCTION("""COMPUTED_VALUE"""),650.0)</f>
        <v>650</v>
      </c>
      <c r="R49" s="37"/>
      <c r="S49" s="38"/>
      <c r="T49" s="35"/>
      <c r="U49" s="35"/>
      <c r="V49" s="35"/>
    </row>
    <row r="50" ht="15.75" customHeight="1">
      <c r="A50" s="35" t="str">
        <f>IFERROR(__xludf.DUMMYFUNCTION("""COMPUTED_VALUE"""),"JP")</f>
        <v>JP</v>
      </c>
      <c r="B50" s="35" t="str">
        <f>IFERROR(__xludf.DUMMYFUNCTION("""COMPUTED_VALUE"""),"笹の川")</f>
        <v>笹の川</v>
      </c>
      <c r="C50" s="35" t="str">
        <f>IFERROR(__xludf.DUMMYFUNCTION("""COMPUTED_VALUE"""),"笹の川")</f>
        <v>笹の川</v>
      </c>
      <c r="D50" s="35"/>
      <c r="E50" s="35" t="str">
        <f>IFERROR(__xludf.DUMMYFUNCTION("""COMPUTED_VALUE"""),"ブレンデッド")</f>
        <v>ブレンデッド</v>
      </c>
      <c r="F50" s="35"/>
      <c r="G50" s="35" t="str">
        <f>IFERROR(__xludf.DUMMYFUNCTION("""COMPUTED_VALUE"""),"チェリーEX")</f>
        <v>チェリーEX</v>
      </c>
      <c r="H50" s="35"/>
      <c r="I50" s="35"/>
      <c r="J50" s="35"/>
      <c r="K50" s="35"/>
      <c r="L50" s="35" t="str">
        <f>IFERROR(__xludf.DUMMYFUNCTION("""COMPUTED_VALUE"""),"✓")</f>
        <v>✓</v>
      </c>
      <c r="M50" s="35"/>
      <c r="N50" s="36">
        <f>IFERROR(__xludf.DUMMYFUNCTION("""COMPUTED_VALUE"""),0.4)</f>
        <v>0.4</v>
      </c>
      <c r="O50" s="35"/>
      <c r="P50" s="37">
        <f>IFERROR(__xludf.DUMMYFUNCTION("""COMPUTED_VALUE"""),900.0)</f>
        <v>900</v>
      </c>
      <c r="Q50" s="37">
        <f>IFERROR(__xludf.DUMMYFUNCTION("""COMPUTED_VALUE"""),550.0)</f>
        <v>550</v>
      </c>
      <c r="R50" s="37"/>
      <c r="S50" s="38">
        <f>IFERROR(__xludf.DUMMYFUNCTION("""COMPUTED_VALUE"""),45876.0)</f>
        <v>45876</v>
      </c>
      <c r="T50" s="35"/>
      <c r="U50" s="35"/>
      <c r="V50" s="35"/>
    </row>
    <row r="51" ht="15.75" customHeight="1">
      <c r="A51" s="35" t="str">
        <f>IFERROR(__xludf.DUMMYFUNCTION("""COMPUTED_VALUE"""),"JP")</f>
        <v>JP</v>
      </c>
      <c r="B51" s="35" t="str">
        <f>IFERROR(__xludf.DUMMYFUNCTION("""COMPUTED_VALUE"""),"モンデ")</f>
        <v>モンデ</v>
      </c>
      <c r="C51" s="35" t="str">
        <f>IFERROR(__xludf.DUMMYFUNCTION("""COMPUTED_VALUE"""),"モンデ")</f>
        <v>モンデ</v>
      </c>
      <c r="D51" s="35"/>
      <c r="E51" s="35" t="str">
        <f>IFERROR(__xludf.DUMMYFUNCTION("""COMPUTED_VALUE"""),"モルト")</f>
        <v>モルト</v>
      </c>
      <c r="F51" s="35"/>
      <c r="G51" s="35" t="str">
        <f>IFERROR(__xludf.DUMMYFUNCTION("""COMPUTED_VALUE"""),"石和 10年")</f>
        <v>石和 10年</v>
      </c>
      <c r="H51" s="35"/>
      <c r="I51" s="35"/>
      <c r="J51" s="35"/>
      <c r="K51" s="35"/>
      <c r="L51" s="35"/>
      <c r="M51" s="35"/>
      <c r="N51" s="36"/>
      <c r="O51" s="35"/>
      <c r="P51" s="37">
        <f>IFERROR(__xludf.DUMMYFUNCTION("""COMPUTED_VALUE"""),2000.0)</f>
        <v>2000</v>
      </c>
      <c r="Q51" s="37">
        <f>IFERROR(__xludf.DUMMYFUNCTION("""COMPUTED_VALUE"""),1100.0)</f>
        <v>1100</v>
      </c>
      <c r="R51" s="37"/>
      <c r="S51" s="38"/>
      <c r="T51" s="35"/>
      <c r="U51" s="35"/>
      <c r="V51" s="35"/>
    </row>
    <row r="52" ht="15.75" customHeight="1">
      <c r="A52" s="35" t="str">
        <f>IFERROR(__xludf.DUMMYFUNCTION("""COMPUTED_VALUE"""),"JP")</f>
        <v>JP</v>
      </c>
      <c r="B52" s="35" t="str">
        <f>IFERROR(__xludf.DUMMYFUNCTION("""COMPUTED_VALUE"""),"篠崎")</f>
        <v>篠崎</v>
      </c>
      <c r="C52" s="35" t="str">
        <f>IFERROR(__xludf.DUMMYFUNCTION("""COMPUTED_VALUE"""),"篠崎")</f>
        <v>篠崎</v>
      </c>
      <c r="D52" s="35"/>
      <c r="E52" s="35" t="str">
        <f>IFERROR(__xludf.DUMMYFUNCTION("""COMPUTED_VALUE"""),"シングルモルト")</f>
        <v>シングルモルト</v>
      </c>
      <c r="F52" s="35"/>
      <c r="G52" s="35" t="str">
        <f>IFERROR(__xludf.DUMMYFUNCTION("""COMPUTED_VALUE"""),"エクスペリメンタル 01")</f>
        <v>エクスペリメンタル 01</v>
      </c>
      <c r="H52" s="35"/>
      <c r="I52" s="35"/>
      <c r="J52" s="35"/>
      <c r="K52" s="35"/>
      <c r="L52" s="35"/>
      <c r="M52" s="35"/>
      <c r="N52" s="36">
        <f>IFERROR(__xludf.DUMMYFUNCTION("""COMPUTED_VALUE"""),0.5)</f>
        <v>0.5</v>
      </c>
      <c r="O52" s="35"/>
      <c r="P52" s="37">
        <f>IFERROR(__xludf.DUMMYFUNCTION("""COMPUTED_VALUE"""),2400.0)</f>
        <v>2400</v>
      </c>
      <c r="Q52" s="37">
        <f>IFERROR(__xludf.DUMMYFUNCTION("""COMPUTED_VALUE"""),1300.0)</f>
        <v>1300</v>
      </c>
      <c r="R52" s="37"/>
      <c r="S52" s="38">
        <f>IFERROR(__xludf.DUMMYFUNCTION("""COMPUTED_VALUE"""),45821.0)</f>
        <v>45821</v>
      </c>
      <c r="T52" s="35"/>
      <c r="U52" s="35"/>
      <c r="V52" s="35"/>
    </row>
    <row r="53" ht="15.75" customHeight="1">
      <c r="A53" s="35" t="str">
        <f>IFERROR(__xludf.DUMMYFUNCTION("""COMPUTED_VALUE"""),"JP")</f>
        <v>JP</v>
      </c>
      <c r="B53" s="35" t="str">
        <f>IFERROR(__xludf.DUMMYFUNCTION("""COMPUTED_VALUE"""),"愛知酒精工業")</f>
        <v>愛知酒精工業</v>
      </c>
      <c r="C53" s="35" t="str">
        <f>IFERROR(__xludf.DUMMYFUNCTION("""COMPUTED_VALUE"""),"愛知酒精工業")</f>
        <v>愛知酒精工業</v>
      </c>
      <c r="D53" s="35"/>
      <c r="E53" s="35" t="str">
        <f>IFERROR(__xludf.DUMMYFUNCTION("""COMPUTED_VALUE"""),"ブレンデッド")</f>
        <v>ブレンデッド</v>
      </c>
      <c r="F53" s="35"/>
      <c r="G53" s="35" t="str">
        <f>IFERROR(__xludf.DUMMYFUNCTION("""COMPUTED_VALUE"""),"レインボーウイスキー")</f>
        <v>レインボーウイスキー</v>
      </c>
      <c r="H53" s="35" t="str">
        <f>IFERROR(__xludf.DUMMYFUNCTION("""COMPUTED_VALUE"""),"2級酒")</f>
        <v>2級酒</v>
      </c>
      <c r="I53" s="35"/>
      <c r="J53" s="35"/>
      <c r="K53" s="35"/>
      <c r="L53" s="35"/>
      <c r="M53" s="35"/>
      <c r="N53" s="36"/>
      <c r="O53" s="35"/>
      <c r="P53" s="37">
        <f>IFERROR(__xludf.DUMMYFUNCTION("""COMPUTED_VALUE"""),1200.0)</f>
        <v>1200</v>
      </c>
      <c r="Q53" s="37">
        <f>IFERROR(__xludf.DUMMYFUNCTION("""COMPUTED_VALUE"""),700.0)</f>
        <v>700</v>
      </c>
      <c r="R53" s="37"/>
      <c r="S53" s="38"/>
      <c r="T53" s="35"/>
      <c r="U53" s="35"/>
      <c r="V53" s="35"/>
    </row>
    <row r="54" ht="15.75" customHeight="1">
      <c r="A54" s="35" t="str">
        <f>IFERROR(__xludf.DUMMYFUNCTION("""COMPUTED_VALUE"""),"JP")</f>
        <v>JP</v>
      </c>
      <c r="B54" s="35" t="str">
        <f>IFERROR(__xludf.DUMMYFUNCTION("""COMPUTED_VALUE"""),"相生ユニビオ")</f>
        <v>相生ユニビオ</v>
      </c>
      <c r="C54" s="35" t="str">
        <f>IFERROR(__xludf.DUMMYFUNCTION("""COMPUTED_VALUE"""),"相生ユニビオ")</f>
        <v>相生ユニビオ</v>
      </c>
      <c r="D54" s="35"/>
      <c r="E54" s="35" t="str">
        <f>IFERROR(__xludf.DUMMYFUNCTION("""COMPUTED_VALUE"""),"ブレンデッドモルト")</f>
        <v>ブレンデッドモルト</v>
      </c>
      <c r="F54" s="35"/>
      <c r="G54" s="35" t="str">
        <f>IFERROR(__xludf.DUMMYFUNCTION("""COMPUTED_VALUE"""),"レインボー三州 12年")</f>
        <v>レインボー三州 12年</v>
      </c>
      <c r="H54" s="35"/>
      <c r="I54" s="35"/>
      <c r="J54" s="35"/>
      <c r="K54" s="35"/>
      <c r="L54" s="35"/>
      <c r="M54" s="35"/>
      <c r="N54" s="36"/>
      <c r="O54" s="35"/>
      <c r="P54" s="37">
        <f>IFERROR(__xludf.DUMMYFUNCTION("""COMPUTED_VALUE"""),1400.0)</f>
        <v>1400</v>
      </c>
      <c r="Q54" s="37">
        <f>IFERROR(__xludf.DUMMYFUNCTION("""COMPUTED_VALUE"""),800.0)</f>
        <v>800</v>
      </c>
      <c r="R54" s="37"/>
      <c r="S54" s="38">
        <f>IFERROR(__xludf.DUMMYFUNCTION("""COMPUTED_VALUE"""),45402.0)</f>
        <v>45402</v>
      </c>
      <c r="T54" s="35"/>
      <c r="U54" s="35"/>
      <c r="V54" s="35"/>
    </row>
    <row r="55" ht="15.75" customHeight="1">
      <c r="A55" s="35" t="str">
        <f>IFERROR(__xludf.DUMMYFUNCTION("""COMPUTED_VALUE"""),"JP")</f>
        <v>JP</v>
      </c>
      <c r="B55" s="35" t="str">
        <f>IFERROR(__xludf.DUMMYFUNCTION("""COMPUTED_VALUE"""),"宮崎本店")</f>
        <v>宮崎本店</v>
      </c>
      <c r="C55" s="35" t="str">
        <f>IFERROR(__xludf.DUMMYFUNCTION("""COMPUTED_VALUE"""),"宮崎本店")</f>
        <v>宮崎本店</v>
      </c>
      <c r="D55" s="35"/>
      <c r="E55" s="35" t="str">
        <f>IFERROR(__xludf.DUMMYFUNCTION("""COMPUTED_VALUE"""),"ブレンデッド")</f>
        <v>ブレンデッド</v>
      </c>
      <c r="F55" s="35"/>
      <c r="G55" s="35" t="str">
        <f>IFERROR(__xludf.DUMMYFUNCTION("""COMPUTED_VALUE"""),"サンピース")</f>
        <v>サンピース</v>
      </c>
      <c r="H55" s="35"/>
      <c r="I55" s="35"/>
      <c r="J55" s="35"/>
      <c r="K55" s="35"/>
      <c r="L55" s="35"/>
      <c r="M55" s="35"/>
      <c r="N55" s="36"/>
      <c r="O55" s="35"/>
      <c r="P55" s="37">
        <f>IFERROR(__xludf.DUMMYFUNCTION("""COMPUTED_VALUE"""),900.0)</f>
        <v>900</v>
      </c>
      <c r="Q55" s="37">
        <f>IFERROR(__xludf.DUMMYFUNCTION("""COMPUTED_VALUE"""),550.0)</f>
        <v>550</v>
      </c>
      <c r="R55" s="37"/>
      <c r="S55" s="38"/>
      <c r="T55" s="35"/>
      <c r="U55" s="35"/>
      <c r="V55" s="35"/>
    </row>
    <row r="56" ht="15.75" customHeight="1">
      <c r="A56" s="35" t="str">
        <f>IFERROR(__xludf.DUMMYFUNCTION("""COMPUTED_VALUE"""),"JP")</f>
        <v>JP</v>
      </c>
      <c r="B56" s="35" t="str">
        <f>IFERROR(__xludf.DUMMYFUNCTION("""COMPUTED_VALUE"""),"玉泉堂")</f>
        <v>玉泉堂</v>
      </c>
      <c r="C56" s="35" t="str">
        <f>IFERROR(__xludf.DUMMYFUNCTION("""COMPUTED_VALUE"""),"玉泉堂")</f>
        <v>玉泉堂</v>
      </c>
      <c r="D56" s="35"/>
      <c r="E56" s="35" t="str">
        <f>IFERROR(__xludf.DUMMYFUNCTION("""COMPUTED_VALUE"""),"ブレンデッド")</f>
        <v>ブレンデッド</v>
      </c>
      <c r="F56" s="35"/>
      <c r="G56" s="35" t="str">
        <f>IFERROR(__xludf.DUMMYFUNCTION("""COMPUTED_VALUE"""),"ピークウイスキー スペシャル")</f>
        <v>ピークウイスキー スペシャル</v>
      </c>
      <c r="H56" s="35"/>
      <c r="I56" s="35"/>
      <c r="J56" s="35"/>
      <c r="K56" s="35"/>
      <c r="L56" s="35"/>
      <c r="M56" s="35"/>
      <c r="N56" s="36"/>
      <c r="O56" s="35"/>
      <c r="P56" s="37">
        <f>IFERROR(__xludf.DUMMYFUNCTION("""COMPUTED_VALUE"""),1000.0)</f>
        <v>1000</v>
      </c>
      <c r="Q56" s="37">
        <f>IFERROR(__xludf.DUMMYFUNCTION("""COMPUTED_VALUE"""),600.0)</f>
        <v>600</v>
      </c>
      <c r="R56" s="37"/>
      <c r="S56" s="38"/>
      <c r="T56" s="35"/>
      <c r="U56" s="35"/>
      <c r="V56" s="35"/>
    </row>
    <row r="57" ht="15.75" customHeight="1">
      <c r="A57" s="35" t="str">
        <f>IFERROR(__xludf.DUMMYFUNCTION("""COMPUTED_VALUE"""),"JP")</f>
        <v>JP</v>
      </c>
      <c r="B57" s="35" t="str">
        <f>IFERROR(__xludf.DUMMYFUNCTION("""COMPUTED_VALUE"""),"三楽")</f>
        <v>三楽</v>
      </c>
      <c r="C57" s="35" t="str">
        <f>IFERROR(__xludf.DUMMYFUNCTION("""COMPUTED_VALUE"""),"三楽")</f>
        <v>三楽</v>
      </c>
      <c r="D57" s="35"/>
      <c r="E57" s="35" t="str">
        <f>IFERROR(__xludf.DUMMYFUNCTION("""COMPUTED_VALUE"""),"ブレンデッド")</f>
        <v>ブレンデッド</v>
      </c>
      <c r="F57" s="35"/>
      <c r="G57" s="35" t="str">
        <f>IFERROR(__xludf.DUMMYFUNCTION("""COMPUTED_VALUE"""),"オーシャンウイスキー ホワイト")</f>
        <v>オーシャンウイスキー ホワイト</v>
      </c>
      <c r="H57" s="35" t="str">
        <f>IFERROR(__xludf.DUMMYFUNCTION("""COMPUTED_VALUE"""),"2級酒")</f>
        <v>2級酒</v>
      </c>
      <c r="I57" s="35"/>
      <c r="J57" s="35"/>
      <c r="K57" s="35"/>
      <c r="L57" s="35"/>
      <c r="M57" s="35"/>
      <c r="N57" s="36"/>
      <c r="O57" s="35"/>
      <c r="P57" s="37">
        <f>IFERROR(__xludf.DUMMYFUNCTION("""COMPUTED_VALUE"""),1100.0)</f>
        <v>1100</v>
      </c>
      <c r="Q57" s="37">
        <f>IFERROR(__xludf.DUMMYFUNCTION("""COMPUTED_VALUE"""),650.0)</f>
        <v>650</v>
      </c>
      <c r="R57" s="37"/>
      <c r="S57" s="38">
        <f>IFERROR(__xludf.DUMMYFUNCTION("""COMPUTED_VALUE"""),45745.0)</f>
        <v>45745</v>
      </c>
      <c r="T57" s="35"/>
      <c r="U57" s="35"/>
      <c r="V57" s="35"/>
    </row>
    <row r="58" ht="15.75" customHeight="1">
      <c r="A58" s="35" t="str">
        <f>IFERROR(__xludf.DUMMYFUNCTION("""COMPUTED_VALUE"""),"JP")</f>
        <v>JP</v>
      </c>
      <c r="B58" s="35" t="str">
        <f>IFERROR(__xludf.DUMMYFUNCTION("""COMPUTED_VALUE"""),"三楽オーシャン")</f>
        <v>三楽オーシャン</v>
      </c>
      <c r="C58" s="35" t="str">
        <f>IFERROR(__xludf.DUMMYFUNCTION("""COMPUTED_VALUE"""),"三楽オーシャン")</f>
        <v>三楽オーシャン</v>
      </c>
      <c r="D58" s="35"/>
      <c r="E58" s="35" t="str">
        <f>IFERROR(__xludf.DUMMYFUNCTION("""COMPUTED_VALUE"""),"ブレンデッド")</f>
        <v>ブレンデッド</v>
      </c>
      <c r="F58" s="35"/>
      <c r="G58" s="35" t="str">
        <f>IFERROR(__xludf.DUMMYFUNCTION("""COMPUTED_VALUE"""),"オーシャン 12年")</f>
        <v>オーシャン 12年</v>
      </c>
      <c r="H58" s="35" t="str">
        <f>IFERROR(__xludf.DUMMYFUNCTION("""COMPUTED_VALUE"""),"特級酒")</f>
        <v>特級酒</v>
      </c>
      <c r="I58" s="35"/>
      <c r="J58" s="35"/>
      <c r="K58" s="35"/>
      <c r="L58" s="35"/>
      <c r="M58" s="35"/>
      <c r="N58" s="36"/>
      <c r="O58" s="35"/>
      <c r="P58" s="37">
        <f>IFERROR(__xludf.DUMMYFUNCTION("""COMPUTED_VALUE"""),1400.0)</f>
        <v>1400</v>
      </c>
      <c r="Q58" s="37">
        <f>IFERROR(__xludf.DUMMYFUNCTION("""COMPUTED_VALUE"""),800.0)</f>
        <v>800</v>
      </c>
      <c r="R58" s="37"/>
      <c r="S58" s="38">
        <f>IFERROR(__xludf.DUMMYFUNCTION("""COMPUTED_VALUE"""),45742.0)</f>
        <v>45742</v>
      </c>
      <c r="T58" s="35"/>
      <c r="U58" s="35"/>
      <c r="V58" s="35"/>
    </row>
    <row r="59" ht="15.75" customHeight="1">
      <c r="A59" s="35" t="str">
        <f>IFERROR(__xludf.DUMMYFUNCTION("""COMPUTED_VALUE"""),"JP")</f>
        <v>JP</v>
      </c>
      <c r="B59" s="35" t="str">
        <f>IFERROR(__xludf.DUMMYFUNCTION("""COMPUTED_VALUE"""),"三楽オーシャン")</f>
        <v>三楽オーシャン</v>
      </c>
      <c r="C59" s="35" t="str">
        <f>IFERROR(__xludf.DUMMYFUNCTION("""COMPUTED_VALUE"""),"三楽オーシャン")</f>
        <v>三楽オーシャン</v>
      </c>
      <c r="D59" s="35"/>
      <c r="E59" s="35" t="str">
        <f>IFERROR(__xludf.DUMMYFUNCTION("""COMPUTED_VALUE"""),"ブレンデッド")</f>
        <v>ブレンデッド</v>
      </c>
      <c r="F59" s="35"/>
      <c r="G59" s="35" t="str">
        <f>IFERROR(__xludf.DUMMYFUNCTION("""COMPUTED_VALUE"""),"オーシャンウイスキー オールド")</f>
        <v>オーシャンウイスキー オールド</v>
      </c>
      <c r="H59" s="35" t="str">
        <f>IFERROR(__xludf.DUMMYFUNCTION("""COMPUTED_VALUE"""),"特級酒")</f>
        <v>特級酒</v>
      </c>
      <c r="I59" s="35"/>
      <c r="J59" s="35"/>
      <c r="K59" s="35"/>
      <c r="L59" s="35"/>
      <c r="M59" s="35"/>
      <c r="N59" s="36"/>
      <c r="O59" s="35"/>
      <c r="P59" s="37">
        <f>IFERROR(__xludf.DUMMYFUNCTION("""COMPUTED_VALUE"""),1400.0)</f>
        <v>1400</v>
      </c>
      <c r="Q59" s="37">
        <f>IFERROR(__xludf.DUMMYFUNCTION("""COMPUTED_VALUE"""),800.0)</f>
        <v>800</v>
      </c>
      <c r="R59" s="37"/>
      <c r="S59" s="38">
        <f>IFERROR(__xludf.DUMMYFUNCTION("""COMPUTED_VALUE"""),45751.0)</f>
        <v>45751</v>
      </c>
      <c r="T59" s="35"/>
      <c r="U59" s="35"/>
      <c r="V59" s="35"/>
    </row>
    <row r="60" ht="15.75" customHeight="1">
      <c r="A60" s="35" t="str">
        <f>IFERROR(__xludf.DUMMYFUNCTION("""COMPUTED_VALUE"""),"JP")</f>
        <v>JP</v>
      </c>
      <c r="B60" s="35" t="str">
        <f>IFERROR(__xludf.DUMMYFUNCTION("""COMPUTED_VALUE"""),"三楽オーシャン")</f>
        <v>三楽オーシャン</v>
      </c>
      <c r="C60" s="35" t="str">
        <f>IFERROR(__xludf.DUMMYFUNCTION("""COMPUTED_VALUE"""),"三楽オーシャン")</f>
        <v>三楽オーシャン</v>
      </c>
      <c r="D60" s="35"/>
      <c r="E60" s="35" t="str">
        <f>IFERROR(__xludf.DUMMYFUNCTION("""COMPUTED_VALUE"""),"ブレンデッド")</f>
        <v>ブレンデッド</v>
      </c>
      <c r="F60" s="35"/>
      <c r="G60" s="35" t="str">
        <f>IFERROR(__xludf.DUMMYFUNCTION("""COMPUTED_VALUE"""),"グロリア")</f>
        <v>グロリア</v>
      </c>
      <c r="H60" s="35" t="str">
        <f>IFERROR(__xludf.DUMMYFUNCTION("""COMPUTED_VALUE"""),"特級酒")</f>
        <v>特級酒</v>
      </c>
      <c r="I60" s="35"/>
      <c r="J60" s="35"/>
      <c r="K60" s="35"/>
      <c r="L60" s="35"/>
      <c r="M60" s="35"/>
      <c r="N60" s="36"/>
      <c r="O60" s="35"/>
      <c r="P60" s="37">
        <f>IFERROR(__xludf.DUMMYFUNCTION("""COMPUTED_VALUE"""),1400.0)</f>
        <v>1400</v>
      </c>
      <c r="Q60" s="37">
        <f>IFERROR(__xludf.DUMMYFUNCTION("""COMPUTED_VALUE"""),800.0)</f>
        <v>800</v>
      </c>
      <c r="R60" s="37"/>
      <c r="S60" s="38">
        <f>IFERROR(__xludf.DUMMYFUNCTION("""COMPUTED_VALUE"""),45744.0)</f>
        <v>45744</v>
      </c>
      <c r="T60" s="35"/>
      <c r="U60" s="35"/>
      <c r="V60" s="35"/>
    </row>
    <row r="61" ht="15.75" customHeight="1">
      <c r="A61" s="35" t="str">
        <f>IFERROR(__xludf.DUMMYFUNCTION("""COMPUTED_VALUE"""),"JP")</f>
        <v>JP</v>
      </c>
      <c r="B61" s="35" t="str">
        <f>IFERROR(__xludf.DUMMYFUNCTION("""COMPUTED_VALUE"""),"三楽オーシャン")</f>
        <v>三楽オーシャン</v>
      </c>
      <c r="C61" s="35" t="str">
        <f>IFERROR(__xludf.DUMMYFUNCTION("""COMPUTED_VALUE"""),"三楽オーシャン")</f>
        <v>三楽オーシャン</v>
      </c>
      <c r="D61" s="35"/>
      <c r="E61" s="35" t="str">
        <f>IFERROR(__xludf.DUMMYFUNCTION("""COMPUTED_VALUE"""),"ブレンデッド")</f>
        <v>ブレンデッド</v>
      </c>
      <c r="F61" s="35"/>
      <c r="G61" s="35" t="str">
        <f>IFERROR(__xludf.DUMMYFUNCTION("""COMPUTED_VALUE"""),"ホワイトシップ")</f>
        <v>ホワイトシップ</v>
      </c>
      <c r="H61" s="35"/>
      <c r="I61" s="35"/>
      <c r="J61" s="35"/>
      <c r="K61" s="35"/>
      <c r="L61" s="35"/>
      <c r="M61" s="35"/>
      <c r="N61" s="36"/>
      <c r="O61" s="35"/>
      <c r="P61" s="37">
        <f>IFERROR(__xludf.DUMMYFUNCTION("""COMPUTED_VALUE"""),1100.0)</f>
        <v>1100</v>
      </c>
      <c r="Q61" s="37">
        <f>IFERROR(__xludf.DUMMYFUNCTION("""COMPUTED_VALUE"""),600.0)</f>
        <v>600</v>
      </c>
      <c r="R61" s="37"/>
      <c r="S61" s="38"/>
      <c r="T61" s="35"/>
      <c r="U61" s="35"/>
      <c r="V61" s="35"/>
    </row>
    <row r="62" ht="15.75" customHeight="1">
      <c r="A62" s="35" t="str">
        <f>IFERROR(__xludf.DUMMYFUNCTION("""COMPUTED_VALUE"""),"JP")</f>
        <v>JP</v>
      </c>
      <c r="B62" s="35" t="str">
        <f>IFERROR(__xludf.DUMMYFUNCTION("""COMPUTED_VALUE"""),"清州桜醸造")</f>
        <v>清州桜醸造</v>
      </c>
      <c r="C62" s="35" t="str">
        <f>IFERROR(__xludf.DUMMYFUNCTION("""COMPUTED_VALUE"""),"清州桜醸造")</f>
        <v>清州桜醸造</v>
      </c>
      <c r="D62" s="35" t="str">
        <f>IFERROR(__xludf.DUMMYFUNCTION("""COMPUTED_VALUE"""),"清洲")</f>
        <v>清洲</v>
      </c>
      <c r="E62" s="35" t="str">
        <f>IFERROR(__xludf.DUMMYFUNCTION("""COMPUTED_VALUE"""),"シングルグレーン")</f>
        <v>シングルグレーン</v>
      </c>
      <c r="F62" s="35"/>
      <c r="G62" s="35" t="str">
        <f>IFERROR(__xludf.DUMMYFUNCTION("""COMPUTED_VALUE"""),"シングルグレーン清須")</f>
        <v>シングルグレーン清須</v>
      </c>
      <c r="H62" s="35"/>
      <c r="I62" s="35"/>
      <c r="J62" s="35"/>
      <c r="K62" s="35"/>
      <c r="L62" s="35" t="str">
        <f>IFERROR(__xludf.DUMMYFUNCTION("""COMPUTED_VALUE"""),"✓")</f>
        <v>✓</v>
      </c>
      <c r="M62" s="35"/>
      <c r="N62" s="36"/>
      <c r="O62" s="35"/>
      <c r="P62" s="37">
        <f>IFERROR(__xludf.DUMMYFUNCTION("""COMPUTED_VALUE"""),1000.0)</f>
        <v>1000</v>
      </c>
      <c r="Q62" s="37">
        <f>IFERROR(__xludf.DUMMYFUNCTION("""COMPUTED_VALUE"""),600.0)</f>
        <v>600</v>
      </c>
      <c r="R62" s="37"/>
      <c r="S62" s="38">
        <f>IFERROR(__xludf.DUMMYFUNCTION("""COMPUTED_VALUE"""),45642.0)</f>
        <v>45642</v>
      </c>
      <c r="T62" s="35"/>
      <c r="U62" s="35"/>
      <c r="V62" s="35"/>
    </row>
    <row r="63" ht="15.75" customHeight="1">
      <c r="A63" s="35" t="str">
        <f>IFERROR(__xludf.DUMMYFUNCTION("""COMPUTED_VALUE"""),"JP")</f>
        <v>JP</v>
      </c>
      <c r="B63" s="35" t="str">
        <f>IFERROR(__xludf.DUMMYFUNCTION("""COMPUTED_VALUE"""),"清州桜醸造")</f>
        <v>清州桜醸造</v>
      </c>
      <c r="C63" s="35" t="str">
        <f>IFERROR(__xludf.DUMMYFUNCTION("""COMPUTED_VALUE"""),"清州桜醸造")</f>
        <v>清州桜醸造</v>
      </c>
      <c r="D63" s="35"/>
      <c r="E63" s="35" t="str">
        <f>IFERROR(__xludf.DUMMYFUNCTION("""COMPUTED_VALUE"""),"ブレンデッド")</f>
        <v>ブレンデッド</v>
      </c>
      <c r="F63" s="35"/>
      <c r="G63" s="35" t="str">
        <f>IFERROR(__xludf.DUMMYFUNCTION("""COMPUTED_VALUE"""),"キヨス")</f>
        <v>キヨス</v>
      </c>
      <c r="H63" s="35"/>
      <c r="I63" s="35"/>
      <c r="J63" s="35"/>
      <c r="K63" s="35"/>
      <c r="L63" s="35" t="str">
        <f>IFERROR(__xludf.DUMMYFUNCTION("""COMPUTED_VALUE"""),"✓")</f>
        <v>✓</v>
      </c>
      <c r="M63" s="35"/>
      <c r="N63" s="36"/>
      <c r="O63" s="35"/>
      <c r="P63" s="37">
        <f>IFERROR(__xludf.DUMMYFUNCTION("""COMPUTED_VALUE"""),1000.0)</f>
        <v>1000</v>
      </c>
      <c r="Q63" s="37">
        <f>IFERROR(__xludf.DUMMYFUNCTION("""COMPUTED_VALUE"""),600.0)</f>
        <v>600</v>
      </c>
      <c r="R63" s="37"/>
      <c r="S63" s="38">
        <f>IFERROR(__xludf.DUMMYFUNCTION("""COMPUTED_VALUE"""),45645.0)</f>
        <v>45645</v>
      </c>
      <c r="T63" s="35"/>
      <c r="U63" s="35"/>
      <c r="V63" s="35"/>
    </row>
    <row r="64" ht="15.75" customHeight="1">
      <c r="A64" s="35" t="str">
        <f>IFERROR(__xludf.DUMMYFUNCTION("""COMPUTED_VALUE"""),"JP")</f>
        <v>JP</v>
      </c>
      <c r="B64" s="35" t="str">
        <f>IFERROR(__xludf.DUMMYFUNCTION("""COMPUTED_VALUE"""),"長濱")</f>
        <v>長濱</v>
      </c>
      <c r="C64" s="35" t="str">
        <f>IFERROR(__xludf.DUMMYFUNCTION("""COMPUTED_VALUE"""),"長濱")</f>
        <v>長濱</v>
      </c>
      <c r="D64" s="35"/>
      <c r="E64" s="35" t="str">
        <f>IFERROR(__xludf.DUMMYFUNCTION("""COMPUTED_VALUE"""),"ブレンデッドモルト")</f>
        <v>ブレンデッドモルト</v>
      </c>
      <c r="F64" s="35"/>
      <c r="G64" s="35" t="str">
        <f>IFERROR(__xludf.DUMMYFUNCTION("""COMPUTED_VALUE"""),"アマハガン for Anytime Whisky 2022")</f>
        <v>アマハガン for Anytime Whisky 2022</v>
      </c>
      <c r="H64" s="35"/>
      <c r="I64" s="35"/>
      <c r="J64" s="35"/>
      <c r="K64" s="35"/>
      <c r="L64" s="35"/>
      <c r="M64" s="35"/>
      <c r="N64" s="36"/>
      <c r="O64" s="35"/>
      <c r="P64" s="37">
        <f>IFERROR(__xludf.DUMMYFUNCTION("""COMPUTED_VALUE"""),1200.0)</f>
        <v>1200</v>
      </c>
      <c r="Q64" s="37">
        <f>IFERROR(__xludf.DUMMYFUNCTION("""COMPUTED_VALUE"""),700.0)</f>
        <v>700</v>
      </c>
      <c r="R64" s="37"/>
      <c r="S64" s="38"/>
      <c r="T64" s="35"/>
      <c r="U64" s="35"/>
      <c r="V64" s="35"/>
    </row>
    <row r="65" ht="15.75" customHeight="1">
      <c r="A65" s="35" t="str">
        <f>IFERROR(__xludf.DUMMYFUNCTION("""COMPUTED_VALUE"""),"JP")</f>
        <v>JP</v>
      </c>
      <c r="B65" s="35" t="str">
        <f>IFERROR(__xludf.DUMMYFUNCTION("""COMPUTED_VALUE"""),"東洋醸造")</f>
        <v>東洋醸造</v>
      </c>
      <c r="C65" s="35" t="str">
        <f>IFERROR(__xludf.DUMMYFUNCTION("""COMPUTED_VALUE"""),"東洋醸造")</f>
        <v>東洋醸造</v>
      </c>
      <c r="D65" s="35"/>
      <c r="E65" s="35" t="str">
        <f>IFERROR(__xludf.DUMMYFUNCTION("""COMPUTED_VALUE"""),"ブレンデッド")</f>
        <v>ブレンデッド</v>
      </c>
      <c r="F65" s="35"/>
      <c r="G65" s="35" t="str">
        <f>IFERROR(__xludf.DUMMYFUNCTION("""COMPUTED_VALUE"""),"JBA バイロン")</f>
        <v>JBA バイロン</v>
      </c>
      <c r="H65" s="35" t="str">
        <f>IFERROR(__xludf.DUMMYFUNCTION("""COMPUTED_VALUE"""),"1級酒")</f>
        <v>1級酒</v>
      </c>
      <c r="I65" s="35"/>
      <c r="J65" s="35"/>
      <c r="K65" s="35"/>
      <c r="L65" s="35"/>
      <c r="M65" s="35"/>
      <c r="N65" s="36"/>
      <c r="O65" s="35"/>
      <c r="P65" s="37">
        <f>IFERROR(__xludf.DUMMYFUNCTION("""COMPUTED_VALUE"""),1300.0)</f>
        <v>1300</v>
      </c>
      <c r="Q65" s="37">
        <f>IFERROR(__xludf.DUMMYFUNCTION("""COMPUTED_VALUE"""),750.0)</f>
        <v>750</v>
      </c>
      <c r="R65" s="37"/>
      <c r="S65" s="38">
        <f>IFERROR(__xludf.DUMMYFUNCTION("""COMPUTED_VALUE"""),44964.0)</f>
        <v>44964</v>
      </c>
      <c r="T65" s="35"/>
      <c r="U65" s="35"/>
      <c r="V65" s="35"/>
    </row>
    <row r="66" ht="15.75" customHeight="1">
      <c r="A66" s="35" t="str">
        <f>IFERROR(__xludf.DUMMYFUNCTION("""COMPUTED_VALUE"""),"JP")</f>
        <v>JP</v>
      </c>
      <c r="B66" s="35" t="str">
        <f>IFERROR(__xludf.DUMMYFUNCTION("""COMPUTED_VALUE"""),"東洋醸造")</f>
        <v>東洋醸造</v>
      </c>
      <c r="C66" s="35" t="str">
        <f>IFERROR(__xludf.DUMMYFUNCTION("""COMPUTED_VALUE"""),"東洋醸造")</f>
        <v>東洋醸造</v>
      </c>
      <c r="D66" s="35"/>
      <c r="E66" s="35" t="str">
        <f>IFERROR(__xludf.DUMMYFUNCTION("""COMPUTED_VALUE"""),"ブレンデッド")</f>
        <v>ブレンデッド</v>
      </c>
      <c r="F66" s="35"/>
      <c r="G66" s="35" t="str">
        <f>IFERROR(__xludf.DUMMYFUNCTION("""COMPUTED_VALUE"""),"ジュピター ’80")</f>
        <v>ジュピター ’80</v>
      </c>
      <c r="H66" s="35" t="str">
        <f>IFERROR(__xludf.DUMMYFUNCTION("""COMPUTED_VALUE"""),"特級酒")</f>
        <v>特級酒</v>
      </c>
      <c r="I66" s="35"/>
      <c r="J66" s="35"/>
      <c r="K66" s="35"/>
      <c r="L66" s="35"/>
      <c r="M66" s="35"/>
      <c r="N66" s="36"/>
      <c r="O66" s="35"/>
      <c r="P66" s="37">
        <f>IFERROR(__xludf.DUMMYFUNCTION("""COMPUTED_VALUE"""),1500.0)</f>
        <v>1500</v>
      </c>
      <c r="Q66" s="37">
        <f>IFERROR(__xludf.DUMMYFUNCTION("""COMPUTED_VALUE"""),850.0)</f>
        <v>850</v>
      </c>
      <c r="R66" s="37"/>
      <c r="S66" s="38">
        <f>IFERROR(__xludf.DUMMYFUNCTION("""COMPUTED_VALUE"""),44956.0)</f>
        <v>44956</v>
      </c>
      <c r="T66" s="35"/>
      <c r="U66" s="35"/>
      <c r="V66" s="35"/>
    </row>
    <row r="67" ht="15.75" customHeight="1">
      <c r="A67" s="35" t="str">
        <f>IFERROR(__xludf.DUMMYFUNCTION("""COMPUTED_VALUE"""),"JP")</f>
        <v>JP</v>
      </c>
      <c r="B67" s="35" t="str">
        <f>IFERROR(__xludf.DUMMYFUNCTION("""COMPUTED_VALUE"""),"宝酒造")</f>
        <v>宝酒造</v>
      </c>
      <c r="C67" s="35" t="str">
        <f>IFERROR(__xludf.DUMMYFUNCTION("""COMPUTED_VALUE"""),"宝酒造")</f>
        <v>宝酒造</v>
      </c>
      <c r="D67" s="35"/>
      <c r="E67" s="35" t="str">
        <f>IFERROR(__xludf.DUMMYFUNCTION("""COMPUTED_VALUE"""),"ブレンデッド")</f>
        <v>ブレンデッド</v>
      </c>
      <c r="F67" s="35"/>
      <c r="G67" s="35" t="str">
        <f>IFERROR(__xludf.DUMMYFUNCTION("""COMPUTED_VALUE"""),"ゴールドキング デラックス")</f>
        <v>ゴールドキング デラックス</v>
      </c>
      <c r="H67" s="35" t="str">
        <f>IFERROR(__xludf.DUMMYFUNCTION("""COMPUTED_VALUE"""),"特級酒")</f>
        <v>特級酒</v>
      </c>
      <c r="I67" s="35"/>
      <c r="J67" s="35"/>
      <c r="K67" s="35"/>
      <c r="L67" s="35"/>
      <c r="M67" s="35"/>
      <c r="N67" s="36"/>
      <c r="O67" s="35"/>
      <c r="P67" s="37">
        <f>IFERROR(__xludf.DUMMYFUNCTION("""COMPUTED_VALUE"""),1500.0)</f>
        <v>1500</v>
      </c>
      <c r="Q67" s="37">
        <f>IFERROR(__xludf.DUMMYFUNCTION("""COMPUTED_VALUE"""),850.0)</f>
        <v>850</v>
      </c>
      <c r="R67" s="37"/>
      <c r="S67" s="38">
        <f>IFERROR(__xludf.DUMMYFUNCTION("""COMPUTED_VALUE"""),45677.0)</f>
        <v>45677</v>
      </c>
      <c r="T67" s="35"/>
      <c r="U67" s="35"/>
      <c r="V67" s="35"/>
    </row>
    <row r="68" ht="15.75" customHeight="1">
      <c r="A68" s="35" t="str">
        <f>IFERROR(__xludf.DUMMYFUNCTION("""COMPUTED_VALUE"""),"JP")</f>
        <v>JP</v>
      </c>
      <c r="B68" s="35" t="str">
        <f>IFERROR(__xludf.DUMMYFUNCTION("""COMPUTED_VALUE"""),"宝酒造")</f>
        <v>宝酒造</v>
      </c>
      <c r="C68" s="35" t="str">
        <f>IFERROR(__xludf.DUMMYFUNCTION("""COMPUTED_VALUE"""),"宝酒造")</f>
        <v>宝酒造</v>
      </c>
      <c r="D68" s="35"/>
      <c r="E68" s="35" t="str">
        <f>IFERROR(__xludf.DUMMYFUNCTION("""COMPUTED_VALUE"""),"ブレンデッド")</f>
        <v>ブレンデッド</v>
      </c>
      <c r="F68" s="35"/>
      <c r="G68" s="35" t="str">
        <f>IFERROR(__xludf.DUMMYFUNCTION("""COMPUTED_VALUE"""),"キングウイスキーエクストラ")</f>
        <v>キングウイスキーエクストラ</v>
      </c>
      <c r="H68" s="35" t="str">
        <f>IFERROR(__xludf.DUMMYFUNCTION("""COMPUTED_VALUE"""),"1級酒")</f>
        <v>1級酒</v>
      </c>
      <c r="I68" s="35"/>
      <c r="J68" s="35"/>
      <c r="K68" s="35"/>
      <c r="L68" s="35"/>
      <c r="M68" s="35"/>
      <c r="N68" s="36"/>
      <c r="O68" s="35"/>
      <c r="P68" s="37">
        <f>IFERROR(__xludf.DUMMYFUNCTION("""COMPUTED_VALUE"""),1300.0)</f>
        <v>1300</v>
      </c>
      <c r="Q68" s="37">
        <f>IFERROR(__xludf.DUMMYFUNCTION("""COMPUTED_VALUE"""),750.0)</f>
        <v>750</v>
      </c>
      <c r="R68" s="37"/>
      <c r="S68" s="38"/>
      <c r="T68" s="35"/>
      <c r="U68" s="35"/>
      <c r="V68" s="35"/>
    </row>
    <row r="69" ht="15.75" customHeight="1">
      <c r="A69" s="35" t="str">
        <f>IFERROR(__xludf.DUMMYFUNCTION("""COMPUTED_VALUE"""),"JP")</f>
        <v>JP</v>
      </c>
      <c r="B69" s="35" t="str">
        <f>IFERROR(__xludf.DUMMYFUNCTION("""COMPUTED_VALUE"""),"宝酒造")</f>
        <v>宝酒造</v>
      </c>
      <c r="C69" s="35" t="str">
        <f>IFERROR(__xludf.DUMMYFUNCTION("""COMPUTED_VALUE"""),"宝酒造")</f>
        <v>宝酒造</v>
      </c>
      <c r="D69" s="35"/>
      <c r="E69" s="35" t="str">
        <f>IFERROR(__xludf.DUMMYFUNCTION("""COMPUTED_VALUE"""),"ブレンデッド")</f>
        <v>ブレンデッド</v>
      </c>
      <c r="F69" s="35"/>
      <c r="G69" s="35" t="str">
        <f>IFERROR(__xludf.DUMMYFUNCTION("""COMPUTED_VALUE"""),"キングウイスキー")</f>
        <v>キングウイスキー</v>
      </c>
      <c r="H69" s="35" t="str">
        <f>IFERROR(__xludf.DUMMYFUNCTION("""COMPUTED_VALUE"""),"2級酒")</f>
        <v>2級酒</v>
      </c>
      <c r="I69" s="35"/>
      <c r="J69" s="35"/>
      <c r="K69" s="35"/>
      <c r="L69" s="35"/>
      <c r="M69" s="35"/>
      <c r="N69" s="36"/>
      <c r="O69" s="35"/>
      <c r="P69" s="37">
        <f>IFERROR(__xludf.DUMMYFUNCTION("""COMPUTED_VALUE"""),1000.0)</f>
        <v>1000</v>
      </c>
      <c r="Q69" s="37">
        <f>IFERROR(__xludf.DUMMYFUNCTION("""COMPUTED_VALUE"""),600.0)</f>
        <v>600</v>
      </c>
      <c r="R69" s="37"/>
      <c r="S69" s="38"/>
      <c r="T69" s="35"/>
      <c r="U69" s="35"/>
      <c r="V69" s="35"/>
    </row>
    <row r="70" ht="15.75" customHeight="1">
      <c r="A70" s="35" t="str">
        <f>IFERROR(__xludf.DUMMYFUNCTION("""COMPUTED_VALUE"""),"JP")</f>
        <v>JP</v>
      </c>
      <c r="B70" s="35" t="str">
        <f>IFERROR(__xludf.DUMMYFUNCTION("""COMPUTED_VALUE"""),"木内酒造")</f>
        <v>木内酒造</v>
      </c>
      <c r="C70" s="35" t="str">
        <f>IFERROR(__xludf.DUMMYFUNCTION("""COMPUTED_VALUE"""),"木内酒造")</f>
        <v>木内酒造</v>
      </c>
      <c r="D70" s="35"/>
      <c r="E70" s="35" t="str">
        <f>IFERROR(__xludf.DUMMYFUNCTION("""COMPUTED_VALUE"""),"ビアスピリッツ")</f>
        <v>ビアスピリッツ</v>
      </c>
      <c r="F70" s="35"/>
      <c r="G70" s="35" t="str">
        <f>IFERROR(__xludf.DUMMYFUNCTION("""COMPUTED_VALUE"""),"Kiuchi no Shizuku")</f>
        <v>Kiuchi no Shizuku</v>
      </c>
      <c r="H70" s="35"/>
      <c r="I70" s="35"/>
      <c r="J70" s="35"/>
      <c r="K70" s="35"/>
      <c r="L70" s="35"/>
      <c r="M70" s="35"/>
      <c r="N70" s="36"/>
      <c r="O70" s="35"/>
      <c r="P70" s="37">
        <f>IFERROR(__xludf.DUMMYFUNCTION("""COMPUTED_VALUE"""),2000.0)</f>
        <v>2000</v>
      </c>
      <c r="Q70" s="37">
        <f>IFERROR(__xludf.DUMMYFUNCTION("""COMPUTED_VALUE"""),1100.0)</f>
        <v>1100</v>
      </c>
      <c r="R70" s="37"/>
      <c r="S70" s="38"/>
      <c r="T70" s="35"/>
      <c r="U70" s="35"/>
      <c r="V70" s="35"/>
    </row>
    <row r="71" ht="15.75" customHeight="1">
      <c r="A71" s="35" t="str">
        <f>IFERROR(__xludf.DUMMYFUNCTION("""COMPUTED_VALUE"""),"JP")</f>
        <v>JP</v>
      </c>
      <c r="B71" s="35" t="str">
        <f>IFERROR(__xludf.DUMMYFUNCTION("""COMPUTED_VALUE"""),"木内酒造")</f>
        <v>木内酒造</v>
      </c>
      <c r="C71" s="35" t="str">
        <f>IFERROR(__xludf.DUMMYFUNCTION("""COMPUTED_VALUE"""),"木内酒造")</f>
        <v>木内酒造</v>
      </c>
      <c r="D71" s="35"/>
      <c r="E71" s="35" t="str">
        <f>IFERROR(__xludf.DUMMYFUNCTION("""COMPUTED_VALUE"""),"リキュール")</f>
        <v>リキュール</v>
      </c>
      <c r="F71" s="35"/>
      <c r="G71" s="35" t="str">
        <f>IFERROR(__xludf.DUMMYFUNCTION("""COMPUTED_VALUE"""),"木内の雫")</f>
        <v>木内の雫</v>
      </c>
      <c r="H71" s="35"/>
      <c r="I71" s="35"/>
      <c r="J71" s="35"/>
      <c r="K71" s="35"/>
      <c r="L71" s="35"/>
      <c r="M71" s="35"/>
      <c r="N71" s="36"/>
      <c r="O71" s="35"/>
      <c r="P71" s="37">
        <f>IFERROR(__xludf.DUMMYFUNCTION("""COMPUTED_VALUE"""),1400.0)</f>
        <v>1400</v>
      </c>
      <c r="Q71" s="37">
        <f>IFERROR(__xludf.DUMMYFUNCTION("""COMPUTED_VALUE"""),800.0)</f>
        <v>800</v>
      </c>
      <c r="R71" s="37"/>
      <c r="S71" s="38"/>
      <c r="T71" s="35"/>
      <c r="U71" s="35"/>
      <c r="V71" s="35"/>
    </row>
    <row r="72" ht="15.75" customHeight="1">
      <c r="A72" s="35" t="str">
        <f>IFERROR(__xludf.DUMMYFUNCTION("""COMPUTED_VALUE"""),"JP")</f>
        <v>JP</v>
      </c>
      <c r="B72" s="35" t="str">
        <f>IFERROR(__xludf.DUMMYFUNCTION("""COMPUTED_VALUE"""),"ヘリオス")</f>
        <v>ヘリオス</v>
      </c>
      <c r="C72" s="35" t="str">
        <f>IFERROR(__xludf.DUMMYFUNCTION("""COMPUTED_VALUE"""),"ヘリオス")</f>
        <v>ヘリオス</v>
      </c>
      <c r="D72" s="35"/>
      <c r="E72" s="35" t="str">
        <f>IFERROR(__xludf.DUMMYFUNCTION("""COMPUTED_VALUE"""),"ブレンデッド")</f>
        <v>ブレンデッド</v>
      </c>
      <c r="F72" s="35"/>
      <c r="G72" s="35" t="str">
        <f>IFERROR(__xludf.DUMMYFUNCTION("""COMPUTED_VALUE"""),"暦")</f>
        <v>暦</v>
      </c>
      <c r="H72" s="35"/>
      <c r="I72" s="35"/>
      <c r="J72" s="35"/>
      <c r="K72" s="35"/>
      <c r="L72" s="35"/>
      <c r="M72" s="35"/>
      <c r="N72" s="36"/>
      <c r="O72" s="35"/>
      <c r="P72" s="37">
        <f>IFERROR(__xludf.DUMMYFUNCTION("""COMPUTED_VALUE"""),1000.0)</f>
        <v>1000</v>
      </c>
      <c r="Q72" s="37">
        <f>IFERROR(__xludf.DUMMYFUNCTION("""COMPUTED_VALUE"""),600.0)</f>
        <v>600</v>
      </c>
      <c r="R72" s="37"/>
      <c r="S72" s="38"/>
      <c r="T72" s="35"/>
      <c r="U72" s="35"/>
      <c r="V72" s="35"/>
    </row>
    <row r="73" ht="15.75" customHeight="1">
      <c r="A73" s="35" t="str">
        <f>IFERROR(__xludf.DUMMYFUNCTION("""COMPUTED_VALUE"""),"JP")</f>
        <v>JP</v>
      </c>
      <c r="B73" s="35" t="str">
        <f>IFERROR(__xludf.DUMMYFUNCTION("""COMPUTED_VALUE"""),"松井")</f>
        <v>松井</v>
      </c>
      <c r="C73" s="35" t="str">
        <f>IFERROR(__xludf.DUMMYFUNCTION("""COMPUTED_VALUE"""),"松井")</f>
        <v>松井</v>
      </c>
      <c r="D73" s="35"/>
      <c r="E73" s="35" t="str">
        <f>IFERROR(__xludf.DUMMYFUNCTION("""COMPUTED_VALUE"""),"ブレンデッドモルト")</f>
        <v>ブレンデッドモルト</v>
      </c>
      <c r="F73" s="35"/>
      <c r="G73" s="35" t="str">
        <f>IFERROR(__xludf.DUMMYFUNCTION("""COMPUTED_VALUE"""),"倉吉 18年")</f>
        <v>倉吉 18年</v>
      </c>
      <c r="H73" s="35"/>
      <c r="I73" s="35"/>
      <c r="J73" s="35"/>
      <c r="K73" s="35"/>
      <c r="L73" s="35"/>
      <c r="M73" s="35"/>
      <c r="N73" s="36"/>
      <c r="O73" s="35"/>
      <c r="P73" s="37">
        <f>IFERROR(__xludf.DUMMYFUNCTION("""COMPUTED_VALUE"""),3000.0)</f>
        <v>3000</v>
      </c>
      <c r="Q73" s="37">
        <f>IFERROR(__xludf.DUMMYFUNCTION("""COMPUTED_VALUE"""),1600.0)</f>
        <v>1600</v>
      </c>
      <c r="R73" s="37"/>
      <c r="S73" s="38"/>
      <c r="T73" s="35"/>
      <c r="U73" s="35"/>
      <c r="V73" s="35"/>
    </row>
    <row r="74" ht="15.75" customHeight="1">
      <c r="A74" s="35" t="str">
        <f>IFERROR(__xludf.DUMMYFUNCTION("""COMPUTED_VALUE"""),"JP")</f>
        <v>JP</v>
      </c>
      <c r="B74" s="35" t="str">
        <f>IFERROR(__xludf.DUMMYFUNCTION("""COMPUTED_VALUE"""),"松井")</f>
        <v>松井</v>
      </c>
      <c r="C74" s="35" t="str">
        <f>IFERROR(__xludf.DUMMYFUNCTION("""COMPUTED_VALUE"""),"松井")</f>
        <v>松井</v>
      </c>
      <c r="D74" s="35"/>
      <c r="E74" s="35" t="str">
        <f>IFERROR(__xludf.DUMMYFUNCTION("""COMPUTED_VALUE"""),"ブレンデッドモルト")</f>
        <v>ブレンデッドモルト</v>
      </c>
      <c r="F74" s="35"/>
      <c r="G74" s="35" t="str">
        <f>IFERROR(__xludf.DUMMYFUNCTION("""COMPUTED_VALUE"""),"倉吉 8年 シェリーカスク")</f>
        <v>倉吉 8年 シェリーカスク</v>
      </c>
      <c r="H74" s="35"/>
      <c r="I74" s="35"/>
      <c r="J74" s="35"/>
      <c r="K74" s="35"/>
      <c r="L74" s="35"/>
      <c r="M74" s="35"/>
      <c r="N74" s="36"/>
      <c r="O74" s="35"/>
      <c r="P74" s="37">
        <f>IFERROR(__xludf.DUMMYFUNCTION("""COMPUTED_VALUE"""),1300.0)</f>
        <v>1300</v>
      </c>
      <c r="Q74" s="37">
        <f>IFERROR(__xludf.DUMMYFUNCTION("""COMPUTED_VALUE"""),750.0)</f>
        <v>750</v>
      </c>
      <c r="R74" s="37"/>
      <c r="S74" s="38"/>
      <c r="T74" s="35"/>
      <c r="U74" s="35"/>
      <c r="V74" s="35"/>
    </row>
    <row r="75" ht="15.75" customHeight="1">
      <c r="A75" s="35" t="str">
        <f>IFERROR(__xludf.DUMMYFUNCTION("""COMPUTED_VALUE"""),"JP")</f>
        <v>JP</v>
      </c>
      <c r="B75" s="35" t="str">
        <f>IFERROR(__xludf.DUMMYFUNCTION("""COMPUTED_VALUE"""),"サン．フーズ")</f>
        <v>サン．フーズ</v>
      </c>
      <c r="C75" s="35" t="str">
        <f>IFERROR(__xludf.DUMMYFUNCTION("""COMPUTED_VALUE"""),"ミレックス")</f>
        <v>ミレックス</v>
      </c>
      <c r="D75" s="35"/>
      <c r="E75" s="35" t="str">
        <f>IFERROR(__xludf.DUMMYFUNCTION("""COMPUTED_VALUE"""),"ブレンデッド")</f>
        <v>ブレンデッド</v>
      </c>
      <c r="F75" s="35"/>
      <c r="G75" s="35" t="str">
        <f>IFERROR(__xludf.DUMMYFUNCTION("""COMPUTED_VALUE"""),"富士山")</f>
        <v>富士山</v>
      </c>
      <c r="H75" s="35"/>
      <c r="I75" s="35"/>
      <c r="J75" s="35"/>
      <c r="K75" s="35"/>
      <c r="L75" s="35"/>
      <c r="M75" s="35"/>
      <c r="N75" s="36"/>
      <c r="O75" s="35"/>
      <c r="P75" s="37">
        <f>IFERROR(__xludf.DUMMYFUNCTION("""COMPUTED_VALUE"""),900.0)</f>
        <v>900</v>
      </c>
      <c r="Q75" s="37">
        <f>IFERROR(__xludf.DUMMYFUNCTION("""COMPUTED_VALUE"""),550.0)</f>
        <v>550</v>
      </c>
      <c r="R75" s="37"/>
      <c r="S75" s="38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71"/>
    <col customWidth="1" min="2" max="2" width="17.86"/>
    <col customWidth="1" min="3" max="3" width="16.57"/>
    <col customWidth="1" hidden="1" min="4" max="4" width="17.86"/>
    <col customWidth="1" min="5" max="5" width="21.14"/>
    <col customWidth="1" hidden="1" min="6" max="6" width="5.71"/>
    <col customWidth="1" min="7" max="7" width="65.0"/>
    <col customWidth="1" min="8" max="8" width="6.86"/>
    <col customWidth="1" hidden="1" min="9" max="9" width="5.71"/>
    <col customWidth="1" hidden="1" min="10" max="10" width="12.0"/>
    <col customWidth="1" hidden="1" min="11" max="11" width="5.71"/>
    <col customWidth="1" hidden="1" min="12" max="13" width="6.86"/>
    <col customWidth="1" min="14" max="14" width="6.86"/>
    <col customWidth="1" hidden="1" min="15" max="15" width="6.86"/>
    <col customWidth="1" min="16" max="17" width="7.43"/>
    <col customWidth="1" min="18" max="18" width="5.71"/>
    <col customWidth="1" min="19" max="19" width="12.0"/>
    <col customWidth="1" min="20" max="22" width="6.86"/>
  </cols>
  <sheetData>
    <row r="1">
      <c r="A1" s="33" t="s">
        <v>714</v>
      </c>
      <c r="T1" s="33"/>
      <c r="U1" s="33"/>
      <c r="V1" s="33"/>
    </row>
    <row r="2">
      <c r="A2" s="34" t="str">
        <f>IFERROR(__xludf.DUMMYFUNCTION("QUERY('全ウイスキー'!A:S, ""SELECT * WHERE NOT A contains 'JP'"")"),"国")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IFERROR(__xludf.DUMMYFUNCTION("""COMPUTED_VALUE"""),"Sc")</f>
        <v>Sc</v>
      </c>
      <c r="B3" s="35"/>
      <c r="C3" s="35" t="str">
        <f>IFERROR(__xludf.DUMMYFUNCTION("""COMPUTED_VALUE"""),"サントリー")</f>
        <v>サントリー</v>
      </c>
      <c r="D3" s="35"/>
      <c r="E3" s="35" t="str">
        <f>IFERROR(__xludf.DUMMYFUNCTION("""COMPUTED_VALUE"""),"シングルモルト")</f>
        <v>シングルモルト</v>
      </c>
      <c r="F3" s="35"/>
      <c r="G3" s="35" t="str">
        <f>IFERROR(__xludf.DUMMYFUNCTION("""COMPUTED_VALUE"""),"グレンフィディック 12年")</f>
        <v>グレンフィディック 12年</v>
      </c>
      <c r="H3" s="35"/>
      <c r="I3" s="35"/>
      <c r="J3" s="35"/>
      <c r="K3" s="35"/>
      <c r="L3" s="35" t="str">
        <f>IFERROR(__xludf.DUMMYFUNCTION("""COMPUTED_VALUE"""),"✓")</f>
        <v>✓</v>
      </c>
      <c r="M3" s="35"/>
      <c r="N3" s="36"/>
      <c r="O3" s="35"/>
      <c r="P3" s="37">
        <f>IFERROR(__xludf.DUMMYFUNCTION("""COMPUTED_VALUE"""),1100.0)</f>
        <v>1100</v>
      </c>
      <c r="Q3" s="37">
        <f>IFERROR(__xludf.DUMMYFUNCTION("""COMPUTED_VALUE"""),650.0)</f>
        <v>650</v>
      </c>
      <c r="R3" s="37"/>
      <c r="S3" s="38"/>
      <c r="T3" s="35"/>
      <c r="U3" s="35"/>
      <c r="V3" s="35"/>
    </row>
    <row r="4">
      <c r="A4" s="35" t="str">
        <f>IFERROR(__xludf.DUMMYFUNCTION("""COMPUTED_VALUE"""),"Sc")</f>
        <v>Sc</v>
      </c>
      <c r="B4" s="35"/>
      <c r="C4" s="35" t="str">
        <f>IFERROR(__xludf.DUMMYFUNCTION("""COMPUTED_VALUE"""),"サントリー")</f>
        <v>サントリー</v>
      </c>
      <c r="D4" s="35"/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IFERROR(__xludf.DUMMYFUNCTION("""COMPUTED_VALUE"""),"スキャパ スキレン")</f>
        <v>スキャパ スキレン</v>
      </c>
      <c r="H4" s="35"/>
      <c r="I4" s="35"/>
      <c r="J4" s="35"/>
      <c r="K4" s="35"/>
      <c r="L4" s="35" t="str">
        <f>IFERROR(__xludf.DUMMYFUNCTION("""COMPUTED_VALUE"""),"✓")</f>
        <v>✓</v>
      </c>
      <c r="M4" s="35"/>
      <c r="N4" s="36"/>
      <c r="O4" s="35"/>
      <c r="P4" s="37">
        <f>IFERROR(__xludf.DUMMYFUNCTION("""COMPUTED_VALUE"""),1300.0)</f>
        <v>1300</v>
      </c>
      <c r="Q4" s="37">
        <f>IFERROR(__xludf.DUMMYFUNCTION("""COMPUTED_VALUE"""),750.0)</f>
        <v>750</v>
      </c>
      <c r="R4" s="37"/>
      <c r="S4" s="38"/>
      <c r="T4" s="35"/>
      <c r="U4" s="35"/>
      <c r="V4" s="35"/>
    </row>
    <row r="5">
      <c r="A5" s="35" t="str">
        <f>IFERROR(__xludf.DUMMYFUNCTION("""COMPUTED_VALUE"""),"Sc")</f>
        <v>Sc</v>
      </c>
      <c r="B5" s="35"/>
      <c r="C5" s="35" t="str">
        <f>IFERROR(__xludf.DUMMYFUNCTION("""COMPUTED_VALUE"""),"サントリー")</f>
        <v>サントリー</v>
      </c>
      <c r="D5" s="35"/>
      <c r="E5" s="35" t="str">
        <f>IFERROR(__xludf.DUMMYFUNCTION("""COMPUTED_VALUE"""),"シングルモルト")</f>
        <v>シングルモルト</v>
      </c>
      <c r="F5" s="35"/>
      <c r="G5" s="35" t="str">
        <f>IFERROR(__xludf.DUMMYFUNCTION("""COMPUTED_VALUE"""),"ボウモア 12年")</f>
        <v>ボウモア 12年</v>
      </c>
      <c r="H5" s="35"/>
      <c r="I5" s="35"/>
      <c r="J5" s="35"/>
      <c r="K5" s="35"/>
      <c r="L5" s="35" t="str">
        <f>IFERROR(__xludf.DUMMYFUNCTION("""COMPUTED_VALUE"""),"✓")</f>
        <v>✓</v>
      </c>
      <c r="M5" s="35"/>
      <c r="N5" s="36"/>
      <c r="O5" s="35"/>
      <c r="P5" s="37">
        <f>IFERROR(__xludf.DUMMYFUNCTION("""COMPUTED_VALUE"""),1300.0)</f>
        <v>1300</v>
      </c>
      <c r="Q5" s="37">
        <f>IFERROR(__xludf.DUMMYFUNCTION("""COMPUTED_VALUE"""),750.0)</f>
        <v>750</v>
      </c>
      <c r="R5" s="37"/>
      <c r="S5" s="38"/>
      <c r="T5" s="35"/>
      <c r="U5" s="35"/>
      <c r="V5" s="35"/>
    </row>
    <row r="6">
      <c r="A6" s="35" t="str">
        <f>IFERROR(__xludf.DUMMYFUNCTION("""COMPUTED_VALUE"""),"Sc")</f>
        <v>Sc</v>
      </c>
      <c r="B6" s="35"/>
      <c r="C6" s="35" t="str">
        <f>IFERROR(__xludf.DUMMYFUNCTION("""COMPUTED_VALUE"""),"サントリー")</f>
        <v>サントリー</v>
      </c>
      <c r="D6" s="35"/>
      <c r="E6" s="35" t="str">
        <f>IFERROR(__xludf.DUMMYFUNCTION("""COMPUTED_VALUE"""),"シングルモルト")</f>
        <v>シングルモルト</v>
      </c>
      <c r="F6" s="35"/>
      <c r="G6" s="35" t="str">
        <f>IFERROR(__xludf.DUMMYFUNCTION("""COMPUTED_VALUE"""),"マッカラン ゴールド")</f>
        <v>マッカラン ゴールド</v>
      </c>
      <c r="H6" s="35"/>
      <c r="I6" s="35"/>
      <c r="J6" s="35"/>
      <c r="K6" s="35"/>
      <c r="L6" s="35"/>
      <c r="M6" s="35"/>
      <c r="N6" s="36"/>
      <c r="O6" s="35"/>
      <c r="P6" s="37">
        <f>IFERROR(__xludf.DUMMYFUNCTION("""COMPUTED_VALUE"""),1800.0)</f>
        <v>1800</v>
      </c>
      <c r="Q6" s="37">
        <f>IFERROR(__xludf.DUMMYFUNCTION("""COMPUTED_VALUE"""),1000.0)</f>
        <v>1000</v>
      </c>
      <c r="R6" s="37"/>
      <c r="S6" s="38"/>
      <c r="T6" s="35"/>
      <c r="U6" s="35"/>
      <c r="V6" s="35"/>
    </row>
    <row r="7">
      <c r="A7" s="35" t="str">
        <f>IFERROR(__xludf.DUMMYFUNCTION("""COMPUTED_VALUE"""),"Sc")</f>
        <v>Sc</v>
      </c>
      <c r="B7" s="35"/>
      <c r="C7" s="35" t="str">
        <f>IFERROR(__xludf.DUMMYFUNCTION("""COMPUTED_VALUE"""),"サントリー")</f>
        <v>サントリー</v>
      </c>
      <c r="D7" s="35"/>
      <c r="E7" s="35" t="str">
        <f>IFERROR(__xludf.DUMMYFUNCTION("""COMPUTED_VALUE"""),"シングルモルト")</f>
        <v>シングルモルト</v>
      </c>
      <c r="F7" s="35"/>
      <c r="G7" s="35" t="str">
        <f>IFERROR(__xludf.DUMMYFUNCTION("""COMPUTED_VALUE"""),"マッカラン シエナ")</f>
        <v>マッカラン シエナ</v>
      </c>
      <c r="H7" s="35"/>
      <c r="I7" s="35"/>
      <c r="J7" s="35"/>
      <c r="K7" s="35"/>
      <c r="L7" s="35"/>
      <c r="M7" s="35"/>
      <c r="N7" s="36"/>
      <c r="O7" s="35"/>
      <c r="P7" s="37">
        <f>IFERROR(__xludf.DUMMYFUNCTION("""COMPUTED_VALUE"""),2000.0)</f>
        <v>2000</v>
      </c>
      <c r="Q7" s="37">
        <f>IFERROR(__xludf.DUMMYFUNCTION("""COMPUTED_VALUE"""),1100.0)</f>
        <v>1100</v>
      </c>
      <c r="R7" s="37"/>
      <c r="S7" s="38"/>
      <c r="T7" s="35"/>
      <c r="U7" s="35"/>
      <c r="V7" s="35"/>
    </row>
    <row r="8">
      <c r="A8" s="35" t="str">
        <f>IFERROR(__xludf.DUMMYFUNCTION("""COMPUTED_VALUE"""),"Sc")</f>
        <v>Sc</v>
      </c>
      <c r="B8" s="35"/>
      <c r="C8" s="35" t="str">
        <f>IFERROR(__xludf.DUMMYFUNCTION("""COMPUTED_VALUE"""),"サントリー")</f>
        <v>サントリー</v>
      </c>
      <c r="D8" s="35"/>
      <c r="E8" s="35" t="str">
        <f>IFERROR(__xludf.DUMMYFUNCTION("""COMPUTED_VALUE"""),"シングルモルト")</f>
        <v>シングルモルト</v>
      </c>
      <c r="F8" s="35"/>
      <c r="G8" s="35" t="str">
        <f>IFERROR(__xludf.DUMMYFUNCTION("""COMPUTED_VALUE"""),"マッカラン 12年")</f>
        <v>マッカラン 12年</v>
      </c>
      <c r="H8" s="35"/>
      <c r="I8" s="35"/>
      <c r="J8" s="35"/>
      <c r="K8" s="35"/>
      <c r="L8" s="35" t="str">
        <f>IFERROR(__xludf.DUMMYFUNCTION("""COMPUTED_VALUE"""),"✓")</f>
        <v>✓</v>
      </c>
      <c r="M8" s="35"/>
      <c r="N8" s="36"/>
      <c r="O8" s="35"/>
      <c r="P8" s="37">
        <f>IFERROR(__xludf.DUMMYFUNCTION("""COMPUTED_VALUE"""),2200.0)</f>
        <v>2200</v>
      </c>
      <c r="Q8" s="37">
        <f>IFERROR(__xludf.DUMMYFUNCTION("""COMPUTED_VALUE"""),1200.0)</f>
        <v>1200</v>
      </c>
      <c r="R8" s="37"/>
      <c r="S8" s="38"/>
      <c r="T8" s="35"/>
      <c r="U8" s="35"/>
      <c r="V8" s="35"/>
    </row>
    <row r="9">
      <c r="A9" s="35" t="str">
        <f>IFERROR(__xludf.DUMMYFUNCTION("""COMPUTED_VALUE"""),"Sc")</f>
        <v>Sc</v>
      </c>
      <c r="B9" s="35"/>
      <c r="C9" s="35" t="str">
        <f>IFERROR(__xludf.DUMMYFUNCTION("""COMPUTED_VALUE"""),"サントリー")</f>
        <v>サントリー</v>
      </c>
      <c r="D9" s="35"/>
      <c r="E9" s="35" t="str">
        <f>IFERROR(__xludf.DUMMYFUNCTION("""COMPUTED_VALUE"""),"シングルモルト")</f>
        <v>シングルモルト</v>
      </c>
      <c r="F9" s="35"/>
      <c r="G9" s="35" t="str">
        <f>IFERROR(__xludf.DUMMYFUNCTION("""COMPUTED_VALUE"""),"ラフロイグ 10年")</f>
        <v>ラフロイグ 10年</v>
      </c>
      <c r="H9" s="35"/>
      <c r="I9" s="35"/>
      <c r="J9" s="35"/>
      <c r="K9" s="35"/>
      <c r="L9" s="35" t="str">
        <f>IFERROR(__xludf.DUMMYFUNCTION("""COMPUTED_VALUE"""),"✓")</f>
        <v>✓</v>
      </c>
      <c r="M9" s="35"/>
      <c r="N9" s="36"/>
      <c r="O9" s="35"/>
      <c r="P9" s="37">
        <f>IFERROR(__xludf.DUMMYFUNCTION("""COMPUTED_VALUE"""),1400.0)</f>
        <v>1400</v>
      </c>
      <c r="Q9" s="37">
        <f>IFERROR(__xludf.DUMMYFUNCTION("""COMPUTED_VALUE"""),800.0)</f>
        <v>800</v>
      </c>
      <c r="R9" s="37"/>
      <c r="S9" s="38"/>
      <c r="T9" s="35"/>
      <c r="U9" s="35"/>
      <c r="V9" s="35"/>
    </row>
    <row r="10">
      <c r="A10" s="35" t="str">
        <f>IFERROR(__xludf.DUMMYFUNCTION("""COMPUTED_VALUE"""),"Sc")</f>
        <v>Sc</v>
      </c>
      <c r="B10" s="35"/>
      <c r="C10" s="35" t="str">
        <f>IFERROR(__xludf.DUMMYFUNCTION("""COMPUTED_VALUE"""),"サントリー")</f>
        <v>サントリー</v>
      </c>
      <c r="D10" s="35"/>
      <c r="E10" s="35" t="str">
        <f>IFERROR(__xludf.DUMMYFUNCTION("""COMPUTED_VALUE"""),"シングルモルト")</f>
        <v>シングルモルト</v>
      </c>
      <c r="F10" s="35"/>
      <c r="G10" s="35" t="str">
        <f>IFERROR(__xludf.DUMMYFUNCTION("""COMPUTED_VALUE"""),"ラフロイグ ウォーターカスク")</f>
        <v>ラフロイグ ウォーターカスク</v>
      </c>
      <c r="H10" s="35"/>
      <c r="I10" s="35"/>
      <c r="J10" s="35"/>
      <c r="K10" s="35"/>
      <c r="L10" s="35"/>
      <c r="M10" s="35"/>
      <c r="N10" s="36"/>
      <c r="O10" s="35"/>
      <c r="P10" s="37">
        <f>IFERROR(__xludf.DUMMYFUNCTION("""COMPUTED_VALUE"""),1800.0)</f>
        <v>1800</v>
      </c>
      <c r="Q10" s="37">
        <f>IFERROR(__xludf.DUMMYFUNCTION("""COMPUTED_VALUE"""),1000.0)</f>
        <v>1000</v>
      </c>
      <c r="R10" s="37"/>
      <c r="S10" s="38"/>
      <c r="T10" s="35"/>
      <c r="U10" s="35"/>
      <c r="V10" s="35"/>
    </row>
    <row r="11">
      <c r="A11" s="35" t="str">
        <f>IFERROR(__xludf.DUMMYFUNCTION("""COMPUTED_VALUE"""),"Sc")</f>
        <v>Sc</v>
      </c>
      <c r="B11" s="35"/>
      <c r="C11" s="35" t="str">
        <f>IFERROR(__xludf.DUMMYFUNCTION("""COMPUTED_VALUE"""),"サントリー")</f>
        <v>サントリー</v>
      </c>
      <c r="D11" s="35"/>
      <c r="E11" s="35" t="str">
        <f>IFERROR(__xludf.DUMMYFUNCTION("""COMPUTED_VALUE"""),"シングルモルト")</f>
        <v>シングルモルト</v>
      </c>
      <c r="F11" s="35"/>
      <c r="G11" s="35" t="str">
        <f>IFERROR(__xludf.DUMMYFUNCTION("""COMPUTED_VALUE"""),"バランタイン シングルモルト グレンバーギー 15年")</f>
        <v>バランタイン シングルモルト グレンバーギー 15年</v>
      </c>
      <c r="H11" s="35"/>
      <c r="I11" s="35"/>
      <c r="J11" s="35"/>
      <c r="K11" s="35"/>
      <c r="L11" s="35"/>
      <c r="M11" s="35"/>
      <c r="N11" s="36"/>
      <c r="O11" s="35"/>
      <c r="P11" s="37">
        <f>IFERROR(__xludf.DUMMYFUNCTION("""COMPUTED_VALUE"""),1500.0)</f>
        <v>1500</v>
      </c>
      <c r="Q11" s="37">
        <f>IFERROR(__xludf.DUMMYFUNCTION("""COMPUTED_VALUE"""),850.0)</f>
        <v>850</v>
      </c>
      <c r="R11" s="37"/>
      <c r="S11" s="38"/>
      <c r="T11" s="35"/>
      <c r="U11" s="35"/>
      <c r="V11" s="35"/>
    </row>
    <row r="12">
      <c r="A12" s="35" t="str">
        <f>IFERROR(__xludf.DUMMYFUNCTION("""COMPUTED_VALUE"""),"Sc")</f>
        <v>Sc</v>
      </c>
      <c r="B12" s="35"/>
      <c r="C12" s="35" t="str">
        <f>IFERROR(__xludf.DUMMYFUNCTION("""COMPUTED_VALUE"""),"サントリー")</f>
        <v>サントリー</v>
      </c>
      <c r="D12" s="35"/>
      <c r="E12" s="35" t="str">
        <f>IFERROR(__xludf.DUMMYFUNCTION("""COMPUTED_VALUE"""),"シングルモルト")</f>
        <v>シングルモルト</v>
      </c>
      <c r="F12" s="35"/>
      <c r="G12" s="35" t="str">
        <f>IFERROR(__xludf.DUMMYFUNCTION("""COMPUTED_VALUE"""),"バランタイン シングルモルト ミルトンダフ 15年")</f>
        <v>バランタイン シングルモルト ミルトンダフ 15年</v>
      </c>
      <c r="H12" s="35"/>
      <c r="I12" s="35"/>
      <c r="J12" s="35"/>
      <c r="K12" s="35"/>
      <c r="L12" s="35"/>
      <c r="M12" s="35"/>
      <c r="N12" s="36"/>
      <c r="O12" s="35"/>
      <c r="P12" s="37">
        <f>IFERROR(__xludf.DUMMYFUNCTION("""COMPUTED_VALUE"""),1500.0)</f>
        <v>1500</v>
      </c>
      <c r="Q12" s="37">
        <f>IFERROR(__xludf.DUMMYFUNCTION("""COMPUTED_VALUE"""),850.0)</f>
        <v>850</v>
      </c>
      <c r="R12" s="37"/>
      <c r="S12" s="38"/>
      <c r="T12" s="35"/>
      <c r="U12" s="35"/>
      <c r="V12" s="35"/>
    </row>
    <row r="13">
      <c r="A13" s="35" t="str">
        <f>IFERROR(__xludf.DUMMYFUNCTION("""COMPUTED_VALUE"""),"Sc")</f>
        <v>Sc</v>
      </c>
      <c r="B13" s="35"/>
      <c r="C13" s="35" t="str">
        <f>IFERROR(__xludf.DUMMYFUNCTION("""COMPUTED_VALUE"""),"サントリー")</f>
        <v>サントリー</v>
      </c>
      <c r="D13" s="35"/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IFERROR(__xludf.DUMMYFUNCTION("""COMPUTED_VALUE"""),"バランタイン シングルモルト グレントファーズ 15年")</f>
        <v>バランタイン シングルモルト グレントファーズ 15年</v>
      </c>
      <c r="H13" s="35"/>
      <c r="I13" s="35"/>
      <c r="J13" s="35"/>
      <c r="K13" s="35"/>
      <c r="L13" s="35"/>
      <c r="M13" s="35"/>
      <c r="N13" s="36"/>
      <c r="O13" s="35"/>
      <c r="P13" s="37">
        <f>IFERROR(__xludf.DUMMYFUNCTION("""COMPUTED_VALUE"""),1500.0)</f>
        <v>1500</v>
      </c>
      <c r="Q13" s="37">
        <f>IFERROR(__xludf.DUMMYFUNCTION("""COMPUTED_VALUE"""),850.0)</f>
        <v>850</v>
      </c>
      <c r="R13" s="37"/>
      <c r="S13" s="38"/>
      <c r="T13" s="35"/>
      <c r="U13" s="35"/>
      <c r="V13" s="35"/>
    </row>
    <row r="14">
      <c r="A14" s="35" t="str">
        <f>IFERROR(__xludf.DUMMYFUNCTION("""COMPUTED_VALUE"""),"Sc")</f>
        <v>Sc</v>
      </c>
      <c r="B14" s="35"/>
      <c r="C14" s="35" t="str">
        <f>IFERROR(__xludf.DUMMYFUNCTION("""COMPUTED_VALUE"""),"シグナトリー")</f>
        <v>シグナトリー</v>
      </c>
      <c r="D14" s="35"/>
      <c r="E14" s="35" t="str">
        <f>IFERROR(__xludf.DUMMYFUNCTION("""COMPUTED_VALUE"""),"シングルカスク")</f>
        <v>シングルカスク</v>
      </c>
      <c r="F14" s="35" t="str">
        <f>IFERROR(__xludf.DUMMYFUNCTION("""COMPUTED_VALUE"""),"#7204")</f>
        <v>#7204</v>
      </c>
      <c r="G14" s="35" t="str">
        <f>IFERROR(__xludf.DUMMYFUNCTION("""COMPUTED_VALUE"""),"ノンチルフィルタードコレクション ダルユーイン19年")</f>
        <v>ノンチルフィルタードコレクション ダルユーイン19年</v>
      </c>
      <c r="H14" s="35"/>
      <c r="I14" s="35"/>
      <c r="J14" s="35"/>
      <c r="K14" s="35"/>
      <c r="L14" s="35"/>
      <c r="M14" s="35"/>
      <c r="N14" s="36"/>
      <c r="O14" s="35"/>
      <c r="P14" s="37">
        <f>IFERROR(__xludf.DUMMYFUNCTION("""COMPUTED_VALUE"""),2400.0)</f>
        <v>2400</v>
      </c>
      <c r="Q14" s="37">
        <f>IFERROR(__xludf.DUMMYFUNCTION("""COMPUTED_VALUE"""),1300.0)</f>
        <v>1300</v>
      </c>
      <c r="R14" s="37"/>
      <c r="S14" s="38"/>
      <c r="T14" s="35"/>
      <c r="U14" s="35"/>
      <c r="V14" s="35"/>
    </row>
    <row r="15">
      <c r="A15" s="35" t="str">
        <f>IFERROR(__xludf.DUMMYFUNCTION("""COMPUTED_VALUE"""),"Sc")</f>
        <v>Sc</v>
      </c>
      <c r="B15" s="35"/>
      <c r="C15" s="35" t="str">
        <f>IFERROR(__xludf.DUMMYFUNCTION("""COMPUTED_VALUE"""),"MHD")</f>
        <v>MHD</v>
      </c>
      <c r="D15" s="35"/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IFERROR(__xludf.DUMMYFUNCTION("""COMPUTED_VALUE"""),"アードベッグ 10年")</f>
        <v>アードベッグ 10年</v>
      </c>
      <c r="H15" s="35"/>
      <c r="I15" s="35"/>
      <c r="J15" s="35"/>
      <c r="K15" s="35"/>
      <c r="L15" s="35" t="str">
        <f>IFERROR(__xludf.DUMMYFUNCTION("""COMPUTED_VALUE"""),"✓")</f>
        <v>✓</v>
      </c>
      <c r="M15" s="35"/>
      <c r="N15" s="36"/>
      <c r="O15" s="35"/>
      <c r="P15" s="37">
        <f>IFERROR(__xludf.DUMMYFUNCTION("""COMPUTED_VALUE"""),1300.0)</f>
        <v>1300</v>
      </c>
      <c r="Q15" s="37">
        <f>IFERROR(__xludf.DUMMYFUNCTION("""COMPUTED_VALUE"""),750.0)</f>
        <v>750</v>
      </c>
      <c r="R15" s="37"/>
      <c r="S15" s="38"/>
      <c r="T15" s="35"/>
      <c r="U15" s="35"/>
      <c r="V15" s="35"/>
    </row>
    <row r="16">
      <c r="A16" s="35" t="str">
        <f>IFERROR(__xludf.DUMMYFUNCTION("""COMPUTED_VALUE"""),"Sc")</f>
        <v>Sc</v>
      </c>
      <c r="B16" s="35"/>
      <c r="C16" s="35" t="str">
        <f>IFERROR(__xludf.DUMMYFUNCTION("""COMPUTED_VALUE"""),"MHD")</f>
        <v>MHD</v>
      </c>
      <c r="D16" s="35"/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IFERROR(__xludf.DUMMYFUNCTION("""COMPUTED_VALUE"""),"アードベッグ コリーヴレッカン")</f>
        <v>アードベッグ コリーヴレッカン</v>
      </c>
      <c r="H16" s="35"/>
      <c r="I16" s="35"/>
      <c r="J16" s="35"/>
      <c r="K16" s="35"/>
      <c r="L16" s="35" t="str">
        <f>IFERROR(__xludf.DUMMYFUNCTION("""COMPUTED_VALUE"""),"✓")</f>
        <v>✓</v>
      </c>
      <c r="M16" s="35"/>
      <c r="N16" s="36"/>
      <c r="O16" s="35"/>
      <c r="P16" s="37">
        <f>IFERROR(__xludf.DUMMYFUNCTION("""COMPUTED_VALUE"""),1800.0)</f>
        <v>1800</v>
      </c>
      <c r="Q16" s="37">
        <f>IFERROR(__xludf.DUMMYFUNCTION("""COMPUTED_VALUE"""),1000.0)</f>
        <v>1000</v>
      </c>
      <c r="R16" s="37"/>
      <c r="S16" s="38"/>
      <c r="T16" s="35"/>
      <c r="U16" s="35"/>
      <c r="V16" s="35"/>
    </row>
    <row r="17">
      <c r="A17" s="35" t="str">
        <f>IFERROR(__xludf.DUMMYFUNCTION("""COMPUTED_VALUE"""),"Sc")</f>
        <v>Sc</v>
      </c>
      <c r="B17" s="35"/>
      <c r="C17" s="35" t="str">
        <f>IFERROR(__xludf.DUMMYFUNCTION("""COMPUTED_VALUE"""),"MHD")</f>
        <v>MHD</v>
      </c>
      <c r="D17" s="35"/>
      <c r="E17" s="35" t="str">
        <f>IFERROR(__xludf.DUMMYFUNCTION("""COMPUTED_VALUE"""),"シングルモルト")</f>
        <v>シングルモルト</v>
      </c>
      <c r="F17" s="35"/>
      <c r="G17" s="35" t="str">
        <f>IFERROR(__xludf.DUMMYFUNCTION("""COMPUTED_VALUE"""),"アードベッグ スコーチ")</f>
        <v>アードベッグ スコーチ</v>
      </c>
      <c r="H17" s="35"/>
      <c r="I17" s="35"/>
      <c r="J17" s="35"/>
      <c r="K17" s="35"/>
      <c r="L17" s="35"/>
      <c r="M17" s="35"/>
      <c r="N17" s="36"/>
      <c r="O17" s="35"/>
      <c r="P17" s="37">
        <f>IFERROR(__xludf.DUMMYFUNCTION("""COMPUTED_VALUE"""),2800.0)</f>
        <v>2800</v>
      </c>
      <c r="Q17" s="37">
        <f>IFERROR(__xludf.DUMMYFUNCTION("""COMPUTED_VALUE"""),1500.0)</f>
        <v>1500</v>
      </c>
      <c r="R17" s="37"/>
      <c r="S17" s="38"/>
      <c r="T17" s="35"/>
      <c r="U17" s="35"/>
      <c r="V17" s="35"/>
    </row>
    <row r="18">
      <c r="A18" s="35" t="str">
        <f>IFERROR(__xludf.DUMMYFUNCTION("""COMPUTED_VALUE"""),"Sc")</f>
        <v>Sc</v>
      </c>
      <c r="B18" s="35"/>
      <c r="C18" s="35" t="str">
        <f>IFERROR(__xludf.DUMMYFUNCTION("""COMPUTED_VALUE"""),"カンパリ")</f>
        <v>カンパリ</v>
      </c>
      <c r="D18" s="35"/>
      <c r="E18" s="35" t="str">
        <f>IFERROR(__xludf.DUMMYFUNCTION("""COMPUTED_VALUE"""),"シングルモルト")</f>
        <v>シングルモルト</v>
      </c>
      <c r="F18" s="35"/>
      <c r="G18" s="35" t="str">
        <f>IFERROR(__xludf.DUMMYFUNCTION("""COMPUTED_VALUE"""),"グレングラント アルボラリス")</f>
        <v>グレングラント アルボラリス</v>
      </c>
      <c r="H18" s="35"/>
      <c r="I18" s="35"/>
      <c r="J18" s="35"/>
      <c r="K18" s="35"/>
      <c r="L18" s="35" t="str">
        <f>IFERROR(__xludf.DUMMYFUNCTION("""COMPUTED_VALUE"""),"✓")</f>
        <v>✓</v>
      </c>
      <c r="M18" s="35"/>
      <c r="N18" s="36"/>
      <c r="O18" s="35"/>
      <c r="P18" s="37">
        <f>IFERROR(__xludf.DUMMYFUNCTION("""COMPUTED_VALUE"""),1100.0)</f>
        <v>1100</v>
      </c>
      <c r="Q18" s="37">
        <f>IFERROR(__xludf.DUMMYFUNCTION("""COMPUTED_VALUE"""),650.0)</f>
        <v>650</v>
      </c>
      <c r="R18" s="37"/>
      <c r="S18" s="38"/>
      <c r="T18" s="35"/>
      <c r="U18" s="35"/>
      <c r="V18" s="35"/>
    </row>
    <row r="19">
      <c r="A19" s="35" t="str">
        <f>IFERROR(__xludf.DUMMYFUNCTION("""COMPUTED_VALUE"""),"Sc")</f>
        <v>Sc</v>
      </c>
      <c r="B19" s="35"/>
      <c r="C19" s="35" t="str">
        <f>IFERROR(__xludf.DUMMYFUNCTION("""COMPUTED_VALUE"""),"アサヒビール")</f>
        <v>アサヒビール</v>
      </c>
      <c r="D19" s="35"/>
      <c r="E19" s="35" t="str">
        <f>IFERROR(__xludf.DUMMYFUNCTION("""COMPUTED_VALUE"""),"シングルモルト")</f>
        <v>シングルモルト</v>
      </c>
      <c r="F19" s="35"/>
      <c r="G19" s="35" t="str">
        <f>IFERROR(__xludf.DUMMYFUNCTION("""COMPUTED_VALUE"""),"グレンドロナック 18年")</f>
        <v>グレンドロナック 18年</v>
      </c>
      <c r="H19" s="35"/>
      <c r="I19" s="35"/>
      <c r="J19" s="35"/>
      <c r="K19" s="35"/>
      <c r="L19" s="35"/>
      <c r="M19" s="35"/>
      <c r="N19" s="36"/>
      <c r="O19" s="35"/>
      <c r="P19" s="37">
        <f>IFERROR(__xludf.DUMMYFUNCTION("""COMPUTED_VALUE"""),2200.0)</f>
        <v>2200</v>
      </c>
      <c r="Q19" s="37">
        <f>IFERROR(__xludf.DUMMYFUNCTION("""COMPUTED_VALUE"""),1200.0)</f>
        <v>1200</v>
      </c>
      <c r="R19" s="37"/>
      <c r="S19" s="38"/>
      <c r="T19" s="35"/>
      <c r="U19" s="35"/>
      <c r="V19" s="35"/>
    </row>
    <row r="20">
      <c r="A20" s="35" t="str">
        <f>IFERROR(__xludf.DUMMYFUNCTION("""COMPUTED_VALUE"""),"Sc")</f>
        <v>Sc</v>
      </c>
      <c r="B20" s="35"/>
      <c r="C20" s="35" t="str">
        <f>IFERROR(__xludf.DUMMYFUNCTION("""COMPUTED_VALUE"""),"MHD")</f>
        <v>MHD</v>
      </c>
      <c r="D20" s="35"/>
      <c r="E20" s="35" t="str">
        <f>IFERROR(__xludf.DUMMYFUNCTION("""COMPUTED_VALUE"""),"シングルモルト")</f>
        <v>シングルモルト</v>
      </c>
      <c r="F20" s="35"/>
      <c r="G20" s="35" t="str">
        <f>IFERROR(__xludf.DUMMYFUNCTION("""COMPUTED_VALUE"""),"グレンモーレンジィ 10年")</f>
        <v>グレンモーレンジィ 10年</v>
      </c>
      <c r="H20" s="35"/>
      <c r="I20" s="35"/>
      <c r="J20" s="35"/>
      <c r="K20" s="35"/>
      <c r="L20" s="35"/>
      <c r="M20" s="35"/>
      <c r="N20" s="36"/>
      <c r="O20" s="35"/>
      <c r="P20" s="37">
        <f>IFERROR(__xludf.DUMMYFUNCTION("""COMPUTED_VALUE"""),1100.0)</f>
        <v>1100</v>
      </c>
      <c r="Q20" s="37">
        <f>IFERROR(__xludf.DUMMYFUNCTION("""COMPUTED_VALUE"""),650.0)</f>
        <v>650</v>
      </c>
      <c r="R20" s="37"/>
      <c r="S20" s="38"/>
      <c r="T20" s="35"/>
      <c r="U20" s="35"/>
      <c r="V20" s="35"/>
    </row>
    <row r="21" ht="15.75" customHeight="1">
      <c r="A21" s="35" t="str">
        <f>IFERROR(__xludf.DUMMYFUNCTION("""COMPUTED_VALUE"""),"Sc")</f>
        <v>Sc</v>
      </c>
      <c r="B21" s="35"/>
      <c r="C21" s="35" t="str">
        <f>IFERROR(__xludf.DUMMYFUNCTION("""COMPUTED_VALUE"""),"MHD")</f>
        <v>MHD</v>
      </c>
      <c r="D21" s="35"/>
      <c r="E21" s="35" t="str">
        <f>IFERROR(__xludf.DUMMYFUNCTION("""COMPUTED_VALUE"""),"シングルモルト")</f>
        <v>シングルモルト</v>
      </c>
      <c r="F21" s="35"/>
      <c r="G21" s="35" t="str">
        <f>IFERROR(__xludf.DUMMYFUNCTION("""COMPUTED_VALUE"""),"グレンモーレンジィ 10年 旧ボトル")</f>
        <v>グレンモーレンジィ 10年 旧ボトル</v>
      </c>
      <c r="H21" s="35"/>
      <c r="I21" s="35"/>
      <c r="J21" s="35"/>
      <c r="K21" s="35"/>
      <c r="L21" s="35"/>
      <c r="M21" s="35"/>
      <c r="N21" s="36"/>
      <c r="O21" s="35"/>
      <c r="P21" s="37">
        <f>IFERROR(__xludf.DUMMYFUNCTION("""COMPUTED_VALUE"""),1300.0)</f>
        <v>1300</v>
      </c>
      <c r="Q21" s="37">
        <f>IFERROR(__xludf.DUMMYFUNCTION("""COMPUTED_VALUE"""),750.0)</f>
        <v>750</v>
      </c>
      <c r="R21" s="37"/>
      <c r="S21" s="38"/>
      <c r="T21" s="35"/>
      <c r="U21" s="35"/>
      <c r="V21" s="35"/>
    </row>
    <row r="22" ht="15.75" customHeight="1">
      <c r="A22" s="35" t="str">
        <f>IFERROR(__xludf.DUMMYFUNCTION("""COMPUTED_VALUE"""),"Sc")</f>
        <v>Sc</v>
      </c>
      <c r="B22" s="35"/>
      <c r="C22" s="35" t="str">
        <f>IFERROR(__xludf.DUMMYFUNCTION("""COMPUTED_VALUE"""),"ペルノリカール")</f>
        <v>ペルノリカール</v>
      </c>
      <c r="D22" s="35"/>
      <c r="E22" s="35" t="str">
        <f>IFERROR(__xludf.DUMMYFUNCTION("""COMPUTED_VALUE"""),"シングルモルト")</f>
        <v>シングルモルト</v>
      </c>
      <c r="F22" s="35"/>
      <c r="G22" s="35" t="str">
        <f>IFERROR(__xludf.DUMMYFUNCTION("""COMPUTED_VALUE"""),"グレンリヴェット 12年 ダブルオーク")</f>
        <v>グレンリヴェット 12年 ダブルオーク</v>
      </c>
      <c r="H22" s="35"/>
      <c r="I22" s="35"/>
      <c r="J22" s="35"/>
      <c r="K22" s="35"/>
      <c r="L22" s="35" t="str">
        <f>IFERROR(__xludf.DUMMYFUNCTION("""COMPUTED_VALUE"""),"✓")</f>
        <v>✓</v>
      </c>
      <c r="M22" s="35"/>
      <c r="N22" s="36"/>
      <c r="O22" s="35"/>
      <c r="P22" s="37">
        <f>IFERROR(__xludf.DUMMYFUNCTION("""COMPUTED_VALUE"""),1300.0)</f>
        <v>1300</v>
      </c>
      <c r="Q22" s="37">
        <f>IFERROR(__xludf.DUMMYFUNCTION("""COMPUTED_VALUE"""),750.0)</f>
        <v>750</v>
      </c>
      <c r="R22" s="37"/>
      <c r="S22" s="38"/>
      <c r="T22" s="35"/>
      <c r="U22" s="35"/>
      <c r="V22" s="35"/>
    </row>
    <row r="23" ht="15.75" customHeight="1">
      <c r="A23" s="35" t="str">
        <f>IFERROR(__xludf.DUMMYFUNCTION("""COMPUTED_VALUE"""),"Sc")</f>
        <v>Sc</v>
      </c>
      <c r="B23" s="35"/>
      <c r="C23" s="35" t="str">
        <f>IFERROR(__xludf.DUMMYFUNCTION("""COMPUTED_VALUE"""),"ペルノリカール")</f>
        <v>ペルノリカール</v>
      </c>
      <c r="D23" s="35"/>
      <c r="E23" s="35" t="str">
        <f>IFERROR(__xludf.DUMMYFUNCTION("""COMPUTED_VALUE"""),"シングルモルト")</f>
        <v>シングルモルト</v>
      </c>
      <c r="F23" s="35"/>
      <c r="G23" s="35" t="str">
        <f>IFERROR(__xludf.DUMMYFUNCTION("""COMPUTED_VALUE"""),"グレンリヴェット 12年 旧ボトル")</f>
        <v>グレンリヴェット 12年 旧ボトル</v>
      </c>
      <c r="H23" s="35"/>
      <c r="I23" s="35"/>
      <c r="J23" s="35"/>
      <c r="K23" s="35"/>
      <c r="L23" s="35"/>
      <c r="M23" s="35"/>
      <c r="N23" s="36"/>
      <c r="O23" s="35"/>
      <c r="P23" s="37">
        <f>IFERROR(__xludf.DUMMYFUNCTION("""COMPUTED_VALUE"""),1400.0)</f>
        <v>1400</v>
      </c>
      <c r="Q23" s="37">
        <f>IFERROR(__xludf.DUMMYFUNCTION("""COMPUTED_VALUE"""),800.0)</f>
        <v>800</v>
      </c>
      <c r="R23" s="37"/>
      <c r="S23" s="38"/>
      <c r="T23" s="35"/>
      <c r="U23" s="35"/>
      <c r="V23" s="35"/>
    </row>
    <row r="24" ht="15.75" customHeight="1">
      <c r="A24" s="35" t="str">
        <f>IFERROR(__xludf.DUMMYFUNCTION("""COMPUTED_VALUE"""),"Sc")</f>
        <v>Sc</v>
      </c>
      <c r="B24" s="35" t="str">
        <f>IFERROR(__xludf.DUMMYFUNCTION("""COMPUTED_VALUE"""),"ホワイト＆マッカイ")</f>
        <v>ホワイト＆マッカイ</v>
      </c>
      <c r="C24" s="35"/>
      <c r="D24" s="35"/>
      <c r="E24" s="35" t="str">
        <f>IFERROR(__xludf.DUMMYFUNCTION("""COMPUTED_VALUE"""),"シングルモルト")</f>
        <v>シングルモルト</v>
      </c>
      <c r="F24" s="35"/>
      <c r="G24" s="35" t="str">
        <f>IFERROR(__xludf.DUMMYFUNCTION("""COMPUTED_VALUE"""),"ダルモア グランレゼルヴァ")</f>
        <v>ダルモア グランレゼルヴァ</v>
      </c>
      <c r="H24" s="35"/>
      <c r="I24" s="35"/>
      <c r="J24" s="35"/>
      <c r="K24" s="35"/>
      <c r="L24" s="35"/>
      <c r="M24" s="35"/>
      <c r="N24" s="36"/>
      <c r="O24" s="35"/>
      <c r="P24" s="37">
        <f>IFERROR(__xludf.DUMMYFUNCTION("""COMPUTED_VALUE"""),1600.0)</f>
        <v>1600</v>
      </c>
      <c r="Q24" s="37">
        <f>IFERROR(__xludf.DUMMYFUNCTION("""COMPUTED_VALUE"""),900.0)</f>
        <v>900</v>
      </c>
      <c r="R24" s="37"/>
      <c r="S24" s="38"/>
      <c r="T24" s="35"/>
      <c r="U24" s="35"/>
      <c r="V24" s="35"/>
    </row>
    <row r="25" ht="15.75" customHeight="1">
      <c r="A25" s="35" t="str">
        <f>IFERROR(__xludf.DUMMYFUNCTION("""COMPUTED_VALUE"""),"Sc")</f>
        <v>Sc</v>
      </c>
      <c r="B25" s="39" t="str">
        <f>IFERROR(__xludf.DUMMYFUNCTION("""COMPUTED_VALUE"""),"ホワイト＆マッカイ")</f>
        <v>ホワイト＆マッカイ</v>
      </c>
      <c r="C25" s="35"/>
      <c r="D25" s="35"/>
      <c r="E25" s="35" t="str">
        <f>IFERROR(__xludf.DUMMYFUNCTION("""COMPUTED_VALUE"""),"シングルモルト")</f>
        <v>シングルモルト</v>
      </c>
      <c r="F25" s="35"/>
      <c r="G25" s="35" t="str">
        <f>IFERROR(__xludf.DUMMYFUNCTION("""COMPUTED_VALUE"""),"ダルモア 12年 ブラックアイル")</f>
        <v>ダルモア 12年 ブラックアイル</v>
      </c>
      <c r="H25" s="35"/>
      <c r="I25" s="35"/>
      <c r="J25" s="35"/>
      <c r="K25" s="35"/>
      <c r="L25" s="35"/>
      <c r="M25" s="35"/>
      <c r="N25" s="36"/>
      <c r="O25" s="35"/>
      <c r="P25" s="37">
        <f>IFERROR(__xludf.DUMMYFUNCTION("""COMPUTED_VALUE"""),1600.0)</f>
        <v>1600</v>
      </c>
      <c r="Q25" s="37">
        <f>IFERROR(__xludf.DUMMYFUNCTION("""COMPUTED_VALUE"""),900.0)</f>
        <v>900</v>
      </c>
      <c r="R25" s="37"/>
      <c r="S25" s="38"/>
      <c r="T25" s="35"/>
      <c r="U25" s="35"/>
      <c r="V25" s="35"/>
    </row>
    <row r="26" ht="15.75" customHeight="1">
      <c r="A26" s="35" t="str">
        <f>IFERROR(__xludf.DUMMYFUNCTION("""COMPUTED_VALUE"""),"Sc")</f>
        <v>Sc</v>
      </c>
      <c r="B26" s="39" t="str">
        <f>IFERROR(__xludf.DUMMYFUNCTION("""COMPUTED_VALUE"""),"G&amp;M")</f>
        <v>G&amp;M</v>
      </c>
      <c r="C26" s="35"/>
      <c r="D26" s="35"/>
      <c r="E26" s="35" t="str">
        <f>IFERROR(__xludf.DUMMYFUNCTION("""COMPUTED_VALUE"""),"シングルモルト")</f>
        <v>シングルモルト</v>
      </c>
      <c r="F26" s="35"/>
      <c r="G26" s="35" t="str">
        <f>IFERROR(__xludf.DUMMYFUNCTION("""COMPUTED_VALUE"""),"マックファイルズコレクション グレンロセス 8年")</f>
        <v>マックファイルズコレクション グレンロセス 8年</v>
      </c>
      <c r="H26" s="35"/>
      <c r="I26" s="35"/>
      <c r="J26" s="35"/>
      <c r="K26" s="35"/>
      <c r="L26" s="35"/>
      <c r="M26" s="35"/>
      <c r="N26" s="36"/>
      <c r="O26" s="35"/>
      <c r="P26" s="37">
        <f>IFERROR(__xludf.DUMMYFUNCTION("""COMPUTED_VALUE"""),1800.0)</f>
        <v>1800</v>
      </c>
      <c r="Q26" s="37">
        <f>IFERROR(__xludf.DUMMYFUNCTION("""COMPUTED_VALUE"""),1000.0)</f>
        <v>1000</v>
      </c>
      <c r="R26" s="37"/>
      <c r="S26" s="38"/>
      <c r="T26" s="35"/>
      <c r="U26" s="35"/>
      <c r="V26" s="35"/>
    </row>
    <row r="27" ht="15.75" customHeight="1">
      <c r="A27" s="35" t="str">
        <f>IFERROR(__xludf.DUMMYFUNCTION("""COMPUTED_VALUE"""),"Sc")</f>
        <v>Sc</v>
      </c>
      <c r="B27" s="35"/>
      <c r="C27" s="35" t="str">
        <f>IFERROR(__xludf.DUMMYFUNCTION("""COMPUTED_VALUE"""),"MHD")</f>
        <v>MHD</v>
      </c>
      <c r="D27" s="35"/>
      <c r="E27" s="35" t="str">
        <f>IFERROR(__xludf.DUMMYFUNCTION("""COMPUTED_VALUE"""),"シングルモルト")</f>
        <v>シングルモルト</v>
      </c>
      <c r="F27" s="35"/>
      <c r="G27" s="35" t="str">
        <f>IFERROR(__xludf.DUMMYFUNCTION("""COMPUTED_VALUE"""),"ラガヴーリン 16年")</f>
        <v>ラガヴーリン 16年</v>
      </c>
      <c r="H27" s="35"/>
      <c r="I27" s="35"/>
      <c r="J27" s="35"/>
      <c r="K27" s="35"/>
      <c r="L27" s="35" t="str">
        <f>IFERROR(__xludf.DUMMYFUNCTION("""COMPUTED_VALUE"""),"✓")</f>
        <v>✓</v>
      </c>
      <c r="M27" s="35"/>
      <c r="N27" s="36"/>
      <c r="O27" s="35"/>
      <c r="P27" s="37">
        <f>IFERROR(__xludf.DUMMYFUNCTION("""COMPUTED_VALUE"""),2400.0)</f>
        <v>2400</v>
      </c>
      <c r="Q27" s="37">
        <f>IFERROR(__xludf.DUMMYFUNCTION("""COMPUTED_VALUE"""),1300.0)</f>
        <v>1300</v>
      </c>
      <c r="R27" s="37"/>
      <c r="S27" s="38"/>
      <c r="T27" s="35"/>
      <c r="U27" s="35"/>
      <c r="V27" s="35"/>
    </row>
    <row r="28" ht="15.75" customHeight="1">
      <c r="A28" s="35" t="str">
        <f>IFERROR(__xludf.DUMMYFUNCTION("""COMPUTED_VALUE"""),"Sc")</f>
        <v>Sc</v>
      </c>
      <c r="B28" s="35"/>
      <c r="C28" s="35" t="str">
        <f>IFERROR(__xludf.DUMMYFUNCTION("""COMPUTED_VALUE"""),"ダンカンテイラー")</f>
        <v>ダンカンテイラー</v>
      </c>
      <c r="D28" s="35"/>
      <c r="E28" s="35" t="str">
        <f>IFERROR(__xludf.DUMMYFUNCTION("""COMPUTED_VALUE"""),"ブレンデッドモルト")</f>
        <v>ブレンデッドモルト</v>
      </c>
      <c r="F28" s="35"/>
      <c r="G28" s="35" t="str">
        <f>IFERROR(__xludf.DUMMYFUNCTION("""COMPUTED_VALUE"""),"ビッグスモーク")</f>
        <v>ビッグスモーク</v>
      </c>
      <c r="H28" s="35"/>
      <c r="I28" s="35"/>
      <c r="J28" s="35"/>
      <c r="K28" s="35"/>
      <c r="L28" s="35"/>
      <c r="M28" s="35"/>
      <c r="N28" s="36"/>
      <c r="O28" s="35"/>
      <c r="P28" s="37">
        <f>IFERROR(__xludf.DUMMYFUNCTION("""COMPUTED_VALUE"""),2000.0)</f>
        <v>2000</v>
      </c>
      <c r="Q28" s="37">
        <f>IFERROR(__xludf.DUMMYFUNCTION("""COMPUTED_VALUE"""),1100.0)</f>
        <v>1100</v>
      </c>
      <c r="R28" s="37"/>
      <c r="S28" s="38"/>
      <c r="T28" s="35"/>
      <c r="U28" s="35"/>
      <c r="V28" s="35"/>
    </row>
    <row r="29" ht="15.75" customHeight="1">
      <c r="A29" s="35" t="str">
        <f>IFERROR(__xludf.DUMMYFUNCTION("""COMPUTED_VALUE"""),"Sc")</f>
        <v>Sc</v>
      </c>
      <c r="B29" s="35"/>
      <c r="C29" s="39" t="str">
        <f>IFERROR(__xludf.DUMMYFUNCTION("""COMPUTED_VALUE"""),"ダグラスレイン")</f>
        <v>ダグラスレイン</v>
      </c>
      <c r="D29" s="39"/>
      <c r="E29" s="35" t="str">
        <f>IFERROR(__xludf.DUMMYFUNCTION("""COMPUTED_VALUE"""),"ブレンデッドモルト")</f>
        <v>ブレンデッドモルト</v>
      </c>
      <c r="F29" s="35"/>
      <c r="G29" s="35" t="str">
        <f>IFERROR(__xludf.DUMMYFUNCTION("""COMPUTED_VALUE"""),"ビッグピート")</f>
        <v>ビッグピート</v>
      </c>
      <c r="H29" s="35"/>
      <c r="I29" s="35"/>
      <c r="J29" s="35"/>
      <c r="K29" s="35"/>
      <c r="L29" s="35" t="str">
        <f>IFERROR(__xludf.DUMMYFUNCTION("""COMPUTED_VALUE"""),"✓")</f>
        <v>✓</v>
      </c>
      <c r="M29" s="35"/>
      <c r="N29" s="36"/>
      <c r="O29" s="35"/>
      <c r="P29" s="37">
        <f>IFERROR(__xludf.DUMMYFUNCTION("""COMPUTED_VALUE"""),1300.0)</f>
        <v>1300</v>
      </c>
      <c r="Q29" s="37">
        <f>IFERROR(__xludf.DUMMYFUNCTION("""COMPUTED_VALUE"""),750.0)</f>
        <v>750</v>
      </c>
      <c r="R29" s="37"/>
      <c r="S29" s="38"/>
      <c r="T29" s="35"/>
      <c r="U29" s="35"/>
      <c r="V29" s="35"/>
    </row>
    <row r="30" ht="15.75" customHeight="1">
      <c r="A30" s="35" t="str">
        <f>IFERROR(__xludf.DUMMYFUNCTION("""COMPUTED_VALUE"""),"Sc")</f>
        <v>Sc</v>
      </c>
      <c r="B30" s="35"/>
      <c r="C30" s="35" t="str">
        <f>IFERROR(__xludf.DUMMYFUNCTION("""COMPUTED_VALUE"""),"ダグラスレイン")</f>
        <v>ダグラスレイン</v>
      </c>
      <c r="D30" s="39"/>
      <c r="E30" s="35" t="str">
        <f>IFERROR(__xludf.DUMMYFUNCTION("""COMPUTED_VALUE"""),"ブレンデッドモルト")</f>
        <v>ブレンデッドモルト</v>
      </c>
      <c r="F30" s="35"/>
      <c r="G30" s="35" t="str">
        <f>IFERROR(__xludf.DUMMYFUNCTION("""COMPUTED_VALUE"""),"ビッグピート クリスマスエディション 2021")</f>
        <v>ビッグピート クリスマスエディション 2021</v>
      </c>
      <c r="H30" s="35"/>
      <c r="I30" s="35"/>
      <c r="J30" s="35"/>
      <c r="K30" s="35"/>
      <c r="L30" s="35"/>
      <c r="M30" s="35"/>
      <c r="N30" s="36"/>
      <c r="O30" s="35"/>
      <c r="P30" s="37">
        <f>IFERROR(__xludf.DUMMYFUNCTION("""COMPUTED_VALUE"""),2400.0)</f>
        <v>2400</v>
      </c>
      <c r="Q30" s="37">
        <f>IFERROR(__xludf.DUMMYFUNCTION("""COMPUTED_VALUE"""),1300.0)</f>
        <v>1300</v>
      </c>
      <c r="R30" s="37"/>
      <c r="S30" s="38">
        <f>IFERROR(__xludf.DUMMYFUNCTION("""COMPUTED_VALUE"""),45651.0)</f>
        <v>45651</v>
      </c>
      <c r="T30" s="35"/>
      <c r="U30" s="35"/>
      <c r="V30" s="35"/>
    </row>
    <row r="31" ht="15.75" customHeight="1">
      <c r="A31" s="35" t="str">
        <f>IFERROR(__xludf.DUMMYFUNCTION("""COMPUTED_VALUE"""),"Sc")</f>
        <v>Sc</v>
      </c>
      <c r="B31" s="35"/>
      <c r="C31" s="35" t="str">
        <f>IFERROR(__xludf.DUMMYFUNCTION("""COMPUTED_VALUE"""),"ダグラスレイン")</f>
        <v>ダグラスレイン</v>
      </c>
      <c r="D31" s="39"/>
      <c r="E31" s="35" t="str">
        <f>IFERROR(__xludf.DUMMYFUNCTION("""COMPUTED_VALUE"""),"ブレンデッドモルト")</f>
        <v>ブレンデッドモルト</v>
      </c>
      <c r="F31" s="35"/>
      <c r="G31" s="35" t="str">
        <f>IFERROR(__xludf.DUMMYFUNCTION("""COMPUTED_VALUE"""),"ビッグピート 将棋エディション")</f>
        <v>ビッグピート 将棋エディション</v>
      </c>
      <c r="H31" s="35"/>
      <c r="I31" s="35"/>
      <c r="J31" s="35"/>
      <c r="K31" s="35"/>
      <c r="L31" s="35"/>
      <c r="M31" s="35"/>
      <c r="N31" s="36"/>
      <c r="O31" s="35"/>
      <c r="P31" s="37">
        <f>IFERROR(__xludf.DUMMYFUNCTION("""COMPUTED_VALUE"""),2400.0)</f>
        <v>2400</v>
      </c>
      <c r="Q31" s="37">
        <f>IFERROR(__xludf.DUMMYFUNCTION("""COMPUTED_VALUE"""),1300.0)</f>
        <v>1300</v>
      </c>
      <c r="R31" s="37"/>
      <c r="S31" s="38"/>
      <c r="T31" s="35"/>
      <c r="U31" s="35"/>
      <c r="V31" s="35"/>
    </row>
    <row r="32" ht="15.75" customHeight="1">
      <c r="A32" s="35" t="str">
        <f>IFERROR(__xludf.DUMMYFUNCTION("""COMPUTED_VALUE"""),"Sc")</f>
        <v>Sc</v>
      </c>
      <c r="B32" s="35"/>
      <c r="C32" s="35"/>
      <c r="D32" s="39"/>
      <c r="E32" s="35" t="str">
        <f>IFERROR(__xludf.DUMMYFUNCTION("""COMPUTED_VALUE"""),"ブレンデッドモルト")</f>
        <v>ブレンデッドモルト</v>
      </c>
      <c r="F32" s="35"/>
      <c r="G32" s="35" t="str">
        <f>IFERROR(__xludf.DUMMYFUNCTION("""COMPUTED_VALUE"""),"ベル シグネチャーブレンド")</f>
        <v>ベル シグネチャーブレンド</v>
      </c>
      <c r="H32" s="35"/>
      <c r="I32" s="35"/>
      <c r="J32" s="35"/>
      <c r="K32" s="35"/>
      <c r="L32" s="35"/>
      <c r="M32" s="35"/>
      <c r="N32" s="36"/>
      <c r="O32" s="35"/>
      <c r="P32" s="37">
        <f>IFERROR(__xludf.DUMMYFUNCTION("""COMPUTED_VALUE"""),1500.0)</f>
        <v>1500</v>
      </c>
      <c r="Q32" s="37">
        <f>IFERROR(__xludf.DUMMYFUNCTION("""COMPUTED_VALUE"""),850.0)</f>
        <v>850</v>
      </c>
      <c r="R32" s="37"/>
      <c r="S32" s="38"/>
      <c r="T32" s="35"/>
      <c r="U32" s="35"/>
      <c r="V32" s="35"/>
    </row>
    <row r="33" ht="15.75" customHeight="1">
      <c r="A33" s="35" t="str">
        <f>IFERROR(__xludf.DUMMYFUNCTION("""COMPUTED_VALUE"""),"Sc")</f>
        <v>Sc</v>
      </c>
      <c r="B33" s="35"/>
      <c r="C33" s="35" t="str">
        <f>IFERROR(__xludf.DUMMYFUNCTION("""COMPUTED_VALUE"""),"サントリー")</f>
        <v>サントリー</v>
      </c>
      <c r="D33" s="39"/>
      <c r="E33" s="35" t="str">
        <f>IFERROR(__xludf.DUMMYFUNCTION("""COMPUTED_VALUE"""),"ブレンデッド")</f>
        <v>ブレンデッド</v>
      </c>
      <c r="F33" s="35"/>
      <c r="G33" s="35" t="str">
        <f>IFERROR(__xludf.DUMMYFUNCTION("""COMPUTED_VALUE"""),"バランタイン 10年")</f>
        <v>バランタイン 10年</v>
      </c>
      <c r="H33" s="35"/>
      <c r="I33" s="35"/>
      <c r="J33" s="35"/>
      <c r="K33" s="35"/>
      <c r="L33" s="35" t="str">
        <f>IFERROR(__xludf.DUMMYFUNCTION("""COMPUTED_VALUE"""),"✓")</f>
        <v>✓</v>
      </c>
      <c r="M33" s="35"/>
      <c r="N33" s="36"/>
      <c r="O33" s="35"/>
      <c r="P33" s="37">
        <f>IFERROR(__xludf.DUMMYFUNCTION("""COMPUTED_VALUE"""),900.0)</f>
        <v>900</v>
      </c>
      <c r="Q33" s="37">
        <f>IFERROR(__xludf.DUMMYFUNCTION("""COMPUTED_VALUE"""),550.0)</f>
        <v>550</v>
      </c>
      <c r="R33" s="37"/>
      <c r="S33" s="38"/>
      <c r="T33" s="35"/>
      <c r="U33" s="35"/>
      <c r="V33" s="35"/>
    </row>
    <row r="34" ht="15.75" customHeight="1">
      <c r="A34" s="35" t="str">
        <f>IFERROR(__xludf.DUMMYFUNCTION("""COMPUTED_VALUE"""),"Sc")</f>
        <v>Sc</v>
      </c>
      <c r="B34" s="35"/>
      <c r="C34" s="35" t="str">
        <f>IFERROR(__xludf.DUMMYFUNCTION("""COMPUTED_VALUE"""),"サントリー")</f>
        <v>サントリー</v>
      </c>
      <c r="D34" s="35"/>
      <c r="E34" s="35" t="str">
        <f>IFERROR(__xludf.DUMMYFUNCTION("""COMPUTED_VALUE"""),"ブレンデッド")</f>
        <v>ブレンデッド</v>
      </c>
      <c r="F34" s="35"/>
      <c r="G34" s="35" t="str">
        <f>IFERROR(__xludf.DUMMYFUNCTION("""COMPUTED_VALUE"""),"バランタイン 12年")</f>
        <v>バランタイン 12年</v>
      </c>
      <c r="H34" s="35"/>
      <c r="I34" s="35"/>
      <c r="J34" s="35"/>
      <c r="K34" s="35"/>
      <c r="L34" s="35"/>
      <c r="M34" s="35"/>
      <c r="N34" s="36"/>
      <c r="O34" s="35"/>
      <c r="P34" s="37">
        <f>IFERROR(__xludf.DUMMYFUNCTION("""COMPUTED_VALUE"""),1100.0)</f>
        <v>1100</v>
      </c>
      <c r="Q34" s="37">
        <f>IFERROR(__xludf.DUMMYFUNCTION("""COMPUTED_VALUE"""),650.0)</f>
        <v>650</v>
      </c>
      <c r="R34" s="37"/>
      <c r="S34" s="38"/>
      <c r="T34" s="35"/>
      <c r="U34" s="35"/>
      <c r="V34" s="35"/>
    </row>
    <row r="35" ht="15.75" customHeight="1">
      <c r="A35" s="35" t="str">
        <f>IFERROR(__xludf.DUMMYFUNCTION("""COMPUTED_VALUE"""),"Sc")</f>
        <v>Sc</v>
      </c>
      <c r="B35" s="35"/>
      <c r="C35" s="35" t="str">
        <f>IFERROR(__xludf.DUMMYFUNCTION("""COMPUTED_VALUE"""),"サントリー")</f>
        <v>サントリー</v>
      </c>
      <c r="D35" s="35"/>
      <c r="E35" s="35" t="str">
        <f>IFERROR(__xludf.DUMMYFUNCTION("""COMPUTED_VALUE"""),"ブレンデッド")</f>
        <v>ブレンデッド</v>
      </c>
      <c r="F35" s="35"/>
      <c r="G35" s="35" t="str">
        <f>IFERROR(__xludf.DUMMYFUNCTION("""COMPUTED_VALUE"""),"バランタイン クリスマスエディション")</f>
        <v>バランタイン クリスマスエディション</v>
      </c>
      <c r="H35" s="35"/>
      <c r="I35" s="35"/>
      <c r="J35" s="35"/>
      <c r="K35" s="35"/>
      <c r="L35" s="35"/>
      <c r="M35" s="35"/>
      <c r="N35" s="36"/>
      <c r="O35" s="35"/>
      <c r="P35" s="37">
        <f>IFERROR(__xludf.DUMMYFUNCTION("""COMPUTED_VALUE"""),1300.0)</f>
        <v>1300</v>
      </c>
      <c r="Q35" s="37">
        <f>IFERROR(__xludf.DUMMYFUNCTION("""COMPUTED_VALUE"""),750.0)</f>
        <v>750</v>
      </c>
      <c r="R35" s="37"/>
      <c r="S35" s="38">
        <f>IFERROR(__xludf.DUMMYFUNCTION("""COMPUTED_VALUE"""),45650.0)</f>
        <v>45650</v>
      </c>
      <c r="T35" s="35"/>
      <c r="U35" s="35"/>
      <c r="V35" s="35"/>
    </row>
    <row r="36" ht="15.75" customHeight="1">
      <c r="A36" s="35" t="str">
        <f>IFERROR(__xludf.DUMMYFUNCTION("""COMPUTED_VALUE"""),"Sc")</f>
        <v>Sc</v>
      </c>
      <c r="B36" s="35"/>
      <c r="C36" s="35" t="str">
        <f>IFERROR(__xludf.DUMMYFUNCTION("""COMPUTED_VALUE"""),"サントリー")</f>
        <v>サントリー</v>
      </c>
      <c r="D36" s="35"/>
      <c r="E36" s="35" t="str">
        <f>IFERROR(__xludf.DUMMYFUNCTION("""COMPUTED_VALUE"""),"ブレンデッド")</f>
        <v>ブレンデッド</v>
      </c>
      <c r="F36" s="35"/>
      <c r="G36" s="35" t="str">
        <f>IFERROR(__xludf.DUMMYFUNCTION("""COMPUTED_VALUE"""),"バランタイン 17年 スキャパエディション")</f>
        <v>バランタイン 17年 スキャパエディション</v>
      </c>
      <c r="H36" s="35"/>
      <c r="I36" s="35"/>
      <c r="J36" s="35"/>
      <c r="K36" s="35"/>
      <c r="L36" s="35"/>
      <c r="M36" s="35"/>
      <c r="N36" s="36"/>
      <c r="O36" s="35"/>
      <c r="P36" s="37">
        <f>IFERROR(__xludf.DUMMYFUNCTION("""COMPUTED_VALUE"""),1800.0)</f>
        <v>1800</v>
      </c>
      <c r="Q36" s="37">
        <f>IFERROR(__xludf.DUMMYFUNCTION("""COMPUTED_VALUE"""),1000.0)</f>
        <v>1000</v>
      </c>
      <c r="R36" s="37"/>
      <c r="S36" s="38"/>
      <c r="T36" s="35"/>
      <c r="U36" s="35"/>
      <c r="V36" s="35"/>
    </row>
    <row r="37" ht="15.75" customHeight="1">
      <c r="A37" s="35" t="str">
        <f>IFERROR(__xludf.DUMMYFUNCTION("""COMPUTED_VALUE"""),"Sc")</f>
        <v>Sc</v>
      </c>
      <c r="B37" s="35"/>
      <c r="C37" s="35" t="str">
        <f>IFERROR(__xludf.DUMMYFUNCTION("""COMPUTED_VALUE"""),"サントリー")</f>
        <v>サントリー</v>
      </c>
      <c r="D37" s="35"/>
      <c r="E37" s="35" t="str">
        <f>IFERROR(__xludf.DUMMYFUNCTION("""COMPUTED_VALUE"""),"ブレンデッド")</f>
        <v>ブレンデッド</v>
      </c>
      <c r="F37" s="35"/>
      <c r="G37" s="35" t="str">
        <f>IFERROR(__xludf.DUMMYFUNCTION("""COMPUTED_VALUE"""),"バランタイン 17年 ミルトンダフエディション")</f>
        <v>バランタイン 17年 ミルトンダフエディション</v>
      </c>
      <c r="H37" s="35"/>
      <c r="I37" s="35"/>
      <c r="J37" s="35"/>
      <c r="K37" s="35"/>
      <c r="L37" s="35"/>
      <c r="M37" s="35"/>
      <c r="N37" s="36"/>
      <c r="O37" s="35"/>
      <c r="P37" s="37">
        <f>IFERROR(__xludf.DUMMYFUNCTION("""COMPUTED_VALUE"""),1800.0)</f>
        <v>1800</v>
      </c>
      <c r="Q37" s="37">
        <f>IFERROR(__xludf.DUMMYFUNCTION("""COMPUTED_VALUE"""),1000.0)</f>
        <v>1000</v>
      </c>
      <c r="R37" s="37"/>
      <c r="S37" s="38"/>
      <c r="T37" s="35"/>
      <c r="U37" s="35"/>
      <c r="V37" s="35"/>
    </row>
    <row r="38" ht="15.75" customHeight="1">
      <c r="A38" s="35" t="str">
        <f>IFERROR(__xludf.DUMMYFUNCTION("""COMPUTED_VALUE"""),"Sc")</f>
        <v>Sc</v>
      </c>
      <c r="B38" s="35"/>
      <c r="C38" s="35" t="str">
        <f>IFERROR(__xludf.DUMMYFUNCTION("""COMPUTED_VALUE"""),"サントリー")</f>
        <v>サントリー</v>
      </c>
      <c r="D38" s="35"/>
      <c r="E38" s="35" t="str">
        <f>IFERROR(__xludf.DUMMYFUNCTION("""COMPUTED_VALUE"""),"ブレンデッド")</f>
        <v>ブレンデッド</v>
      </c>
      <c r="F38" s="35"/>
      <c r="G38" s="35" t="str">
        <f>IFERROR(__xludf.DUMMYFUNCTION("""COMPUTED_VALUE"""),"バランタイン 17年 グレントファーズエディション")</f>
        <v>バランタイン 17年 グレントファーズエディション</v>
      </c>
      <c r="H38" s="35"/>
      <c r="I38" s="35"/>
      <c r="J38" s="35"/>
      <c r="K38" s="35"/>
      <c r="L38" s="35"/>
      <c r="M38" s="35"/>
      <c r="N38" s="36"/>
      <c r="O38" s="35"/>
      <c r="P38" s="37">
        <f>IFERROR(__xludf.DUMMYFUNCTION("""COMPUTED_VALUE"""),1800.0)</f>
        <v>1800</v>
      </c>
      <c r="Q38" s="37">
        <f>IFERROR(__xludf.DUMMYFUNCTION("""COMPUTED_VALUE"""),1000.0)</f>
        <v>1000</v>
      </c>
      <c r="R38" s="37"/>
      <c r="S38" s="38"/>
      <c r="T38" s="35"/>
      <c r="U38" s="35"/>
      <c r="V38" s="35"/>
    </row>
    <row r="39" ht="15.75" customHeight="1">
      <c r="A39" s="35" t="str">
        <f>IFERROR(__xludf.DUMMYFUNCTION("""COMPUTED_VALUE"""),"Sc")</f>
        <v>Sc</v>
      </c>
      <c r="B39" s="35"/>
      <c r="C39" s="35" t="str">
        <f>IFERROR(__xludf.DUMMYFUNCTION("""COMPUTED_VALUE"""),"ペルノリカール")</f>
        <v>ペルノリカール</v>
      </c>
      <c r="D39" s="35"/>
      <c r="E39" s="35" t="str">
        <f>IFERROR(__xludf.DUMMYFUNCTION("""COMPUTED_VALUE"""),"ブレンデッド")</f>
        <v>ブレンデッド</v>
      </c>
      <c r="F39" s="35"/>
      <c r="G39" s="35" t="str">
        <f>IFERROR(__xludf.DUMMYFUNCTION("""COMPUTED_VALUE"""),"シーバスリーガル 12年")</f>
        <v>シーバスリーガル 12年</v>
      </c>
      <c r="H39" s="35"/>
      <c r="I39" s="35"/>
      <c r="J39" s="35"/>
      <c r="K39" s="35"/>
      <c r="L39" s="35" t="str">
        <f>IFERROR(__xludf.DUMMYFUNCTION("""COMPUTED_VALUE"""),"✓")</f>
        <v>✓</v>
      </c>
      <c r="M39" s="35"/>
      <c r="N39" s="36"/>
      <c r="O39" s="35"/>
      <c r="P39" s="37">
        <f>IFERROR(__xludf.DUMMYFUNCTION("""COMPUTED_VALUE"""),900.0)</f>
        <v>900</v>
      </c>
      <c r="Q39" s="37">
        <f>IFERROR(__xludf.DUMMYFUNCTION("""COMPUTED_VALUE"""),550.0)</f>
        <v>550</v>
      </c>
      <c r="R39" s="37"/>
      <c r="S39" s="38"/>
      <c r="T39" s="35"/>
      <c r="U39" s="35"/>
      <c r="V39" s="35"/>
    </row>
    <row r="40" ht="15.75" customHeight="1">
      <c r="A40" s="35" t="str">
        <f>IFERROR(__xludf.DUMMYFUNCTION("""COMPUTED_VALUE"""),"Sc")</f>
        <v>Sc</v>
      </c>
      <c r="B40" s="35"/>
      <c r="C40" s="35" t="str">
        <f>IFERROR(__xludf.DUMMYFUNCTION("""COMPUTED_VALUE"""),"ペルノリカール")</f>
        <v>ペルノリカール</v>
      </c>
      <c r="D40" s="35"/>
      <c r="E40" s="35" t="str">
        <f>IFERROR(__xludf.DUMMYFUNCTION("""COMPUTED_VALUE"""),"ブレンデッド")</f>
        <v>ブレンデッド</v>
      </c>
      <c r="F40" s="35"/>
      <c r="G40" s="35" t="str">
        <f>IFERROR(__xludf.DUMMYFUNCTION("""COMPUTED_VALUE"""),"シーバスリーガル 12年 みずなら")</f>
        <v>シーバスリーガル 12年 みずなら</v>
      </c>
      <c r="H40" s="35"/>
      <c r="I40" s="35"/>
      <c r="J40" s="35"/>
      <c r="K40" s="35"/>
      <c r="L40" s="35" t="str">
        <f>IFERROR(__xludf.DUMMYFUNCTION("""COMPUTED_VALUE"""),"✓")</f>
        <v>✓</v>
      </c>
      <c r="M40" s="35"/>
      <c r="N40" s="36"/>
      <c r="O40" s="35"/>
      <c r="P40" s="37">
        <f>IFERROR(__xludf.DUMMYFUNCTION("""COMPUTED_VALUE"""),1000.0)</f>
        <v>1000</v>
      </c>
      <c r="Q40" s="37">
        <f>IFERROR(__xludf.DUMMYFUNCTION("""COMPUTED_VALUE"""),600.0)</f>
        <v>600</v>
      </c>
      <c r="R40" s="37"/>
      <c r="S40" s="38"/>
      <c r="T40" s="35"/>
      <c r="U40" s="35"/>
      <c r="V40" s="35"/>
    </row>
    <row r="41" ht="15.75" customHeight="1">
      <c r="A41" s="35" t="str">
        <f>IFERROR(__xludf.DUMMYFUNCTION("""COMPUTED_VALUE"""),"US")</f>
        <v>US</v>
      </c>
      <c r="B41" s="35"/>
      <c r="C41" s="35" t="str">
        <f>IFERROR(__xludf.DUMMYFUNCTION("""COMPUTED_VALUE"""),"キリン")</f>
        <v>キリン</v>
      </c>
      <c r="D41" s="35"/>
      <c r="E41" s="35" t="str">
        <f>IFERROR(__xludf.DUMMYFUNCTION("""COMPUTED_VALUE"""),"バーボン")</f>
        <v>バーボン</v>
      </c>
      <c r="F41" s="35"/>
      <c r="G41" s="35" t="str">
        <f>IFERROR(__xludf.DUMMYFUNCTION("""COMPUTED_VALUE"""),"フォアローゼス ブラック")</f>
        <v>フォアローゼス ブラック</v>
      </c>
      <c r="H41" s="35"/>
      <c r="I41" s="35"/>
      <c r="J41" s="35"/>
      <c r="K41" s="35"/>
      <c r="L41" s="35" t="str">
        <f>IFERROR(__xludf.DUMMYFUNCTION("""COMPUTED_VALUE"""),"✓")</f>
        <v>✓</v>
      </c>
      <c r="M41" s="35"/>
      <c r="N41" s="36"/>
      <c r="O41" s="35"/>
      <c r="P41" s="37">
        <f>IFERROR(__xludf.DUMMYFUNCTION("""COMPUTED_VALUE"""),1000.0)</f>
        <v>1000</v>
      </c>
      <c r="Q41" s="37">
        <f>IFERROR(__xludf.DUMMYFUNCTION("""COMPUTED_VALUE"""),600.0)</f>
        <v>600</v>
      </c>
      <c r="R41" s="37"/>
      <c r="S41" s="38"/>
      <c r="T41" s="35"/>
      <c r="U41" s="35"/>
      <c r="V41" s="35"/>
    </row>
    <row r="42" ht="15.75" customHeight="1">
      <c r="A42" s="35" t="str">
        <f>IFERROR(__xludf.DUMMYFUNCTION("""COMPUTED_VALUE"""),"US")</f>
        <v>US</v>
      </c>
      <c r="B42" s="35"/>
      <c r="C42" s="35" t="str">
        <f>IFERROR(__xludf.DUMMYFUNCTION("""COMPUTED_VALUE"""),"キリン")</f>
        <v>キリン</v>
      </c>
      <c r="D42" s="35"/>
      <c r="E42" s="35" t="str">
        <f>IFERROR(__xludf.DUMMYFUNCTION("""COMPUTED_VALUE"""),"バーボン")</f>
        <v>バーボン</v>
      </c>
      <c r="F42" s="35"/>
      <c r="G42" s="35" t="str">
        <f>IFERROR(__xludf.DUMMYFUNCTION("""COMPUTED_VALUE"""),"フォアローゼス プラチナ")</f>
        <v>フォアローゼス プラチナ</v>
      </c>
      <c r="H42" s="35"/>
      <c r="I42" s="35"/>
      <c r="J42" s="35"/>
      <c r="K42" s="35"/>
      <c r="L42" s="35" t="str">
        <f>IFERROR(__xludf.DUMMYFUNCTION("""COMPUTED_VALUE"""),"✓")</f>
        <v>✓</v>
      </c>
      <c r="M42" s="35"/>
      <c r="N42" s="36"/>
      <c r="O42" s="35"/>
      <c r="P42" s="37">
        <f>IFERROR(__xludf.DUMMYFUNCTION("""COMPUTED_VALUE"""),1600.0)</f>
        <v>1600</v>
      </c>
      <c r="Q42" s="37">
        <f>IFERROR(__xludf.DUMMYFUNCTION("""COMPUTED_VALUE"""),900.0)</f>
        <v>900</v>
      </c>
      <c r="R42" s="37"/>
      <c r="S42" s="38"/>
      <c r="T42" s="35"/>
      <c r="U42" s="35"/>
      <c r="V42" s="35"/>
    </row>
    <row r="43" ht="15.75" customHeight="1">
      <c r="A43" s="35" t="str">
        <f>IFERROR(__xludf.DUMMYFUNCTION("""COMPUTED_VALUE"""),"US")</f>
        <v>US</v>
      </c>
      <c r="B43" s="35"/>
      <c r="C43" s="35" t="str">
        <f>IFERROR(__xludf.DUMMYFUNCTION("""COMPUTED_VALUE"""),"サントリー")</f>
        <v>サントリー</v>
      </c>
      <c r="D43" s="35"/>
      <c r="E43" s="35" t="str">
        <f>IFERROR(__xludf.DUMMYFUNCTION("""COMPUTED_VALUE"""),"バーボン")</f>
        <v>バーボン</v>
      </c>
      <c r="F43" s="35"/>
      <c r="G43" s="35" t="str">
        <f>IFERROR(__xludf.DUMMYFUNCTION("""COMPUTED_VALUE"""),"メーカーズマーク")</f>
        <v>メーカーズマーク</v>
      </c>
      <c r="H43" s="35"/>
      <c r="I43" s="35"/>
      <c r="J43" s="35"/>
      <c r="K43" s="35"/>
      <c r="L43" s="35" t="str">
        <f>IFERROR(__xludf.DUMMYFUNCTION("""COMPUTED_VALUE"""),"✓")</f>
        <v>✓</v>
      </c>
      <c r="M43" s="35"/>
      <c r="N43" s="36"/>
      <c r="O43" s="35"/>
      <c r="P43" s="37">
        <f>IFERROR(__xludf.DUMMYFUNCTION("""COMPUTED_VALUE"""),900.0)</f>
        <v>900</v>
      </c>
      <c r="Q43" s="37">
        <f>IFERROR(__xludf.DUMMYFUNCTION("""COMPUTED_VALUE"""),550.0)</f>
        <v>550</v>
      </c>
      <c r="R43" s="37"/>
      <c r="S43" s="38"/>
      <c r="T43" s="35"/>
      <c r="U43" s="35"/>
      <c r="V43" s="35"/>
    </row>
    <row r="44" ht="15.75" customHeight="1">
      <c r="A44" s="35" t="str">
        <f>IFERROR(__xludf.DUMMYFUNCTION("""COMPUTED_VALUE"""),"US")</f>
        <v>US</v>
      </c>
      <c r="B44" s="35" t="str">
        <f>IFERROR(__xludf.DUMMYFUNCTION("""COMPUTED_VALUE"""),"マコーミック")</f>
        <v>マコーミック</v>
      </c>
      <c r="C44" s="35"/>
      <c r="D44" s="35"/>
      <c r="E44" s="35" t="str">
        <f>IFERROR(__xludf.DUMMYFUNCTION("""COMPUTED_VALUE"""),"コーン")</f>
        <v>コーン</v>
      </c>
      <c r="F44" s="35"/>
      <c r="G44" s="35" t="str">
        <f>IFERROR(__xludf.DUMMYFUNCTION("""COMPUTED_VALUE"""),"プラットヴァレー")</f>
        <v>プラットヴァレー</v>
      </c>
      <c r="H44" s="35"/>
      <c r="I44" s="35"/>
      <c r="J44" s="35"/>
      <c r="K44" s="35"/>
      <c r="L44" s="35" t="str">
        <f>IFERROR(__xludf.DUMMYFUNCTION("""COMPUTED_VALUE"""),"✓")</f>
        <v>✓</v>
      </c>
      <c r="M44" s="35"/>
      <c r="N44" s="36"/>
      <c r="O44" s="35"/>
      <c r="P44" s="37">
        <f>IFERROR(__xludf.DUMMYFUNCTION("""COMPUTED_VALUE"""),900.0)</f>
        <v>900</v>
      </c>
      <c r="Q44" s="37">
        <f>IFERROR(__xludf.DUMMYFUNCTION("""COMPUTED_VALUE"""),550.0)</f>
        <v>550</v>
      </c>
      <c r="R44" s="37"/>
      <c r="S44" s="38"/>
      <c r="T44" s="35"/>
      <c r="U44" s="35"/>
      <c r="V44" s="35"/>
    </row>
    <row r="45" ht="15.75" customHeight="1">
      <c r="A45" s="35" t="str">
        <f>IFERROR(__xludf.DUMMYFUNCTION("""COMPUTED_VALUE"""),"US")</f>
        <v>US</v>
      </c>
      <c r="B45" s="39" t="str">
        <f>IFERROR(__xludf.DUMMYFUNCTION("""COMPUTED_VALUE"""),"ジャックダニエル")</f>
        <v>ジャックダニエル</v>
      </c>
      <c r="C45" s="35"/>
      <c r="D45" s="35"/>
      <c r="E45" s="35" t="str">
        <f>IFERROR(__xludf.DUMMYFUNCTION("""COMPUTED_VALUE"""),"テネシー")</f>
        <v>テネシー</v>
      </c>
      <c r="F45" s="35"/>
      <c r="G45" s="35" t="str">
        <f>IFERROR(__xludf.DUMMYFUNCTION("""COMPUTED_VALUE"""),"ジャックダニエル")</f>
        <v>ジャックダニエル</v>
      </c>
      <c r="H45" s="35"/>
      <c r="I45" s="35"/>
      <c r="J45" s="35"/>
      <c r="K45" s="35"/>
      <c r="L45" s="35" t="str">
        <f>IFERROR(__xludf.DUMMYFUNCTION("""COMPUTED_VALUE"""),"✓")</f>
        <v>✓</v>
      </c>
      <c r="M45" s="35"/>
      <c r="N45" s="36"/>
      <c r="O45" s="35"/>
      <c r="P45" s="37">
        <f>IFERROR(__xludf.DUMMYFUNCTION("""COMPUTED_VALUE"""),900.0)</f>
        <v>900</v>
      </c>
      <c r="Q45" s="37">
        <f>IFERROR(__xludf.DUMMYFUNCTION("""COMPUTED_VALUE"""),550.0)</f>
        <v>550</v>
      </c>
      <c r="R45" s="37"/>
      <c r="S45" s="38"/>
      <c r="T45" s="35"/>
      <c r="U45" s="35"/>
      <c r="V45" s="35"/>
    </row>
    <row r="46" ht="15.75" customHeight="1">
      <c r="A46" s="35" t="str">
        <f>IFERROR(__xludf.DUMMYFUNCTION("""COMPUTED_VALUE"""),"US")</f>
        <v>US</v>
      </c>
      <c r="B46" s="35" t="str">
        <f>IFERROR(__xludf.DUMMYFUNCTION("""COMPUTED_VALUE"""),"IWハーパー")</f>
        <v>IWハーパー</v>
      </c>
      <c r="C46" s="35"/>
      <c r="D46" s="35"/>
      <c r="E46" s="35" t="str">
        <f>IFERROR(__xludf.DUMMYFUNCTION("""COMPUTED_VALUE"""),"バーボン")</f>
        <v>バーボン</v>
      </c>
      <c r="F46" s="35"/>
      <c r="G46" s="35" t="str">
        <f>IFERROR(__xludf.DUMMYFUNCTION("""COMPUTED_VALUE"""),"I.W.ハーパー 12年")</f>
        <v>I.W.ハーパー 12年</v>
      </c>
      <c r="H46" s="35"/>
      <c r="I46" s="35"/>
      <c r="J46" s="35"/>
      <c r="K46" s="35"/>
      <c r="L46" s="35" t="str">
        <f>IFERROR(__xludf.DUMMYFUNCTION("""COMPUTED_VALUE"""),"✓")</f>
        <v>✓</v>
      </c>
      <c r="M46" s="35"/>
      <c r="N46" s="36"/>
      <c r="O46" s="35"/>
      <c r="P46" s="37">
        <f>IFERROR(__xludf.DUMMYFUNCTION("""COMPUTED_VALUE"""),1900.0)</f>
        <v>1900</v>
      </c>
      <c r="Q46" s="37">
        <f>IFERROR(__xludf.DUMMYFUNCTION("""COMPUTED_VALUE"""),1050.0)</f>
        <v>1050</v>
      </c>
      <c r="R46" s="37"/>
      <c r="S46" s="38"/>
      <c r="T46" s="35"/>
      <c r="U46" s="35"/>
      <c r="V46" s="35"/>
    </row>
    <row r="47" ht="15.75" customHeight="1">
      <c r="A47" s="35" t="str">
        <f>IFERROR(__xludf.DUMMYFUNCTION("""COMPUTED_VALUE"""),"US")</f>
        <v>US</v>
      </c>
      <c r="B47" s="35"/>
      <c r="C47" s="35"/>
      <c r="D47" s="35"/>
      <c r="E47" s="35" t="str">
        <f>IFERROR(__xludf.DUMMYFUNCTION("""COMPUTED_VALUE"""),"バーボン")</f>
        <v>バーボン</v>
      </c>
      <c r="F47" s="35"/>
      <c r="G47" s="35" t="str">
        <f>IFERROR(__xludf.DUMMYFUNCTION("""COMPUTED_VALUE"""),"ジンビーム ディスティラリーズシリーズ 「フレッド・ノオ」 7年")</f>
        <v>ジンビーム ディスティラリーズシリーズ 「フレッド・ノオ」 7年</v>
      </c>
      <c r="H47" s="35"/>
      <c r="I47" s="35"/>
      <c r="J47" s="35"/>
      <c r="K47" s="35"/>
      <c r="L47" s="35"/>
      <c r="M47" s="35"/>
      <c r="N47" s="36"/>
      <c r="O47" s="35"/>
      <c r="P47" s="37">
        <f>IFERROR(__xludf.DUMMYFUNCTION("""COMPUTED_VALUE"""),1600.0)</f>
        <v>1600</v>
      </c>
      <c r="Q47" s="37">
        <f>IFERROR(__xludf.DUMMYFUNCTION("""COMPUTED_VALUE"""),900.0)</f>
        <v>900</v>
      </c>
      <c r="R47" s="37"/>
      <c r="S47" s="38"/>
      <c r="T47" s="35"/>
      <c r="U47" s="35"/>
      <c r="V47" s="35"/>
    </row>
    <row r="48" ht="15.75" customHeight="1">
      <c r="A48" s="35" t="str">
        <f>IFERROR(__xludf.DUMMYFUNCTION("""COMPUTED_VALUE"""),"US")</f>
        <v>US</v>
      </c>
      <c r="B48" s="40" t="str">
        <f>IFERROR(__xludf.DUMMYFUNCTION("""COMPUTED_VALUE"""),"オースティンニコルス")</f>
        <v>オースティンニコルス</v>
      </c>
      <c r="C48" s="35"/>
      <c r="D48" s="35"/>
      <c r="E48" s="35" t="str">
        <f>IFERROR(__xludf.DUMMYFUNCTION("""COMPUTED_VALUE"""),"バーボン")</f>
        <v>バーボン</v>
      </c>
      <c r="F48" s="35"/>
      <c r="G48" s="35" t="str">
        <f>IFERROR(__xludf.DUMMYFUNCTION("""COMPUTED_VALUE"""),"ワイルドターキー 8年")</f>
        <v>ワイルドターキー 8年</v>
      </c>
      <c r="H48" s="35"/>
      <c r="I48" s="35"/>
      <c r="J48" s="35"/>
      <c r="K48" s="35"/>
      <c r="L48" s="35" t="str">
        <f>IFERROR(__xludf.DUMMYFUNCTION("""COMPUTED_VALUE"""),"✓")</f>
        <v>✓</v>
      </c>
      <c r="M48" s="35"/>
      <c r="N48" s="36"/>
      <c r="O48" s="35"/>
      <c r="P48" s="37">
        <f>IFERROR(__xludf.DUMMYFUNCTION("""COMPUTED_VALUE"""),900.0)</f>
        <v>900</v>
      </c>
      <c r="Q48" s="37">
        <f>IFERROR(__xludf.DUMMYFUNCTION("""COMPUTED_VALUE"""),550.0)</f>
        <v>550</v>
      </c>
      <c r="R48" s="37"/>
      <c r="S48" s="38"/>
      <c r="T48" s="35"/>
      <c r="U48" s="35"/>
      <c r="V48" s="35"/>
    </row>
    <row r="49" ht="15.75" customHeight="1">
      <c r="A49" s="35" t="str">
        <f>IFERROR(__xludf.DUMMYFUNCTION("""COMPUTED_VALUE"""),"US")</f>
        <v>US</v>
      </c>
      <c r="B49" s="35" t="str">
        <f>IFERROR(__xludf.DUMMYFUNCTION("""COMPUTED_VALUE"""),"ジムビーム")</f>
        <v>ジムビーム</v>
      </c>
      <c r="C49" s="35"/>
      <c r="D49" s="35"/>
      <c r="E49" s="35" t="str">
        <f>IFERROR(__xludf.DUMMYFUNCTION("""COMPUTED_VALUE"""),"ライ")</f>
        <v>ライ</v>
      </c>
      <c r="F49" s="35"/>
      <c r="G49" s="35" t="str">
        <f>IFERROR(__xludf.DUMMYFUNCTION("""COMPUTED_VALUE"""),"オールドオーバーホルト")</f>
        <v>オールドオーバーホルト</v>
      </c>
      <c r="H49" s="35"/>
      <c r="I49" s="35"/>
      <c r="J49" s="35"/>
      <c r="K49" s="35"/>
      <c r="L49" s="35" t="str">
        <f>IFERROR(__xludf.DUMMYFUNCTION("""COMPUTED_VALUE"""),"✓")</f>
        <v>✓</v>
      </c>
      <c r="M49" s="35"/>
      <c r="N49" s="36"/>
      <c r="O49" s="35"/>
      <c r="P49" s="37">
        <f>IFERROR(__xludf.DUMMYFUNCTION("""COMPUTED_VALUE"""),900.0)</f>
        <v>900</v>
      </c>
      <c r="Q49" s="37">
        <f>IFERROR(__xludf.DUMMYFUNCTION("""COMPUTED_VALUE"""),550.0)</f>
        <v>550</v>
      </c>
      <c r="R49" s="37"/>
      <c r="S49" s="38"/>
      <c r="T49" s="35"/>
      <c r="U49" s="35"/>
      <c r="V49" s="35"/>
    </row>
    <row r="50" ht="15.75" customHeight="1">
      <c r="A50" s="35" t="str">
        <f>IFERROR(__xludf.DUMMYFUNCTION("""COMPUTED_VALUE"""),"CA")</f>
        <v>CA</v>
      </c>
      <c r="B50" s="35"/>
      <c r="C50" s="35" t="str">
        <f>IFERROR(__xludf.DUMMYFUNCTION("""COMPUTED_VALUE"""),"サントリー")</f>
        <v>サントリー</v>
      </c>
      <c r="D50" s="35"/>
      <c r="E50" s="35" t="str">
        <f>IFERROR(__xludf.DUMMYFUNCTION("""COMPUTED_VALUE"""),"ブレンデッド")</f>
        <v>ブレンデッド</v>
      </c>
      <c r="F50" s="35"/>
      <c r="G50" s="35" t="str">
        <f>IFERROR(__xludf.DUMMYFUNCTION("""COMPUTED_VALUE"""),"カナディアンクラブ")</f>
        <v>カナディアンクラブ</v>
      </c>
      <c r="H50" s="35"/>
      <c r="I50" s="35"/>
      <c r="J50" s="35"/>
      <c r="K50" s="35"/>
      <c r="L50" s="35" t="str">
        <f>IFERROR(__xludf.DUMMYFUNCTION("""COMPUTED_VALUE"""),"✓")</f>
        <v>✓</v>
      </c>
      <c r="M50" s="35"/>
      <c r="N50" s="36"/>
      <c r="O50" s="35"/>
      <c r="P50" s="37">
        <f>IFERROR(__xludf.DUMMYFUNCTION("""COMPUTED_VALUE"""),900.0)</f>
        <v>900</v>
      </c>
      <c r="Q50" s="37">
        <f>IFERROR(__xludf.DUMMYFUNCTION("""COMPUTED_VALUE"""),550.0)</f>
        <v>550</v>
      </c>
      <c r="R50" s="37"/>
      <c r="S50" s="38"/>
      <c r="T50" s="35"/>
      <c r="U50" s="35"/>
      <c r="V50" s="35"/>
    </row>
    <row r="51" ht="15.75" customHeight="1">
      <c r="A51" s="35" t="str">
        <f>IFERROR(__xludf.DUMMYFUNCTION("""COMPUTED_VALUE"""),"CA")</f>
        <v>CA</v>
      </c>
      <c r="B51" s="35"/>
      <c r="C51" s="35" t="str">
        <f>IFERROR(__xludf.DUMMYFUNCTION("""COMPUTED_VALUE"""),"サントリー")</f>
        <v>サントリー</v>
      </c>
      <c r="D51" s="35"/>
      <c r="E51" s="35" t="str">
        <f>IFERROR(__xludf.DUMMYFUNCTION("""COMPUTED_VALUE"""),"ブレンデッド")</f>
        <v>ブレンデッド</v>
      </c>
      <c r="F51" s="35"/>
      <c r="G51" s="35" t="str">
        <f>IFERROR(__xludf.DUMMYFUNCTION("""COMPUTED_VALUE"""),"カナディアンクラブ 12年")</f>
        <v>カナディアンクラブ 12年</v>
      </c>
      <c r="H51" s="35"/>
      <c r="I51" s="35"/>
      <c r="J51" s="35"/>
      <c r="K51" s="35"/>
      <c r="L51" s="35" t="str">
        <f>IFERROR(__xludf.DUMMYFUNCTION("""COMPUTED_VALUE"""),"✓")</f>
        <v>✓</v>
      </c>
      <c r="M51" s="35"/>
      <c r="N51" s="36"/>
      <c r="O51" s="35"/>
      <c r="P51" s="37">
        <f>IFERROR(__xludf.DUMMYFUNCTION("""COMPUTED_VALUE"""),1000.0)</f>
        <v>1000</v>
      </c>
      <c r="Q51" s="37">
        <f>IFERROR(__xludf.DUMMYFUNCTION("""COMPUTED_VALUE"""),600.0)</f>
        <v>600</v>
      </c>
      <c r="R51" s="37"/>
      <c r="S51" s="38"/>
      <c r="T51" s="35"/>
      <c r="U51" s="35"/>
      <c r="V51" s="35"/>
    </row>
    <row r="52" ht="15.75" customHeight="1">
      <c r="A52" s="35" t="str">
        <f>IFERROR(__xludf.DUMMYFUNCTION("""COMPUTED_VALUE"""),"CA")</f>
        <v>CA</v>
      </c>
      <c r="B52" s="35" t="str">
        <f>IFERROR(__xludf.DUMMYFUNCTION("""COMPUTED_VALUE"""),"マック・ギネス")</f>
        <v>マック・ギネス</v>
      </c>
      <c r="C52" s="35"/>
      <c r="D52" s="35"/>
      <c r="E52" s="35" t="str">
        <f>IFERROR(__xludf.DUMMYFUNCTION("""COMPUTED_VALUE"""),"ライ")</f>
        <v>ライ</v>
      </c>
      <c r="F52" s="35"/>
      <c r="G52" s="35" t="str">
        <f>IFERROR(__xludf.DUMMYFUNCTION("""COMPUTED_VALUE"""),"オールドカナダ")</f>
        <v>オールドカナダ</v>
      </c>
      <c r="H52" s="35" t="str">
        <f>IFERROR(__xludf.DUMMYFUNCTION("""COMPUTED_VALUE"""),"2級酒")</f>
        <v>2級酒</v>
      </c>
      <c r="I52" s="35"/>
      <c r="J52" s="35"/>
      <c r="K52" s="35"/>
      <c r="L52" s="35"/>
      <c r="M52" s="35"/>
      <c r="N52" s="36"/>
      <c r="O52" s="35"/>
      <c r="P52" s="37">
        <f>IFERROR(__xludf.DUMMYFUNCTION("""COMPUTED_VALUE"""),1100.0)</f>
        <v>1100</v>
      </c>
      <c r="Q52" s="37">
        <f>IFERROR(__xludf.DUMMYFUNCTION("""COMPUTED_VALUE"""),650.0)</f>
        <v>650</v>
      </c>
      <c r="R52" s="37"/>
      <c r="S52" s="38"/>
      <c r="T52" s="35"/>
      <c r="U52" s="35"/>
      <c r="V52" s="35"/>
    </row>
    <row r="53" ht="15.75" customHeight="1">
      <c r="A53" s="35" t="str">
        <f>IFERROR(__xludf.DUMMYFUNCTION("""COMPUTED_VALUE"""),"IE")</f>
        <v>IE</v>
      </c>
      <c r="B53" s="35"/>
      <c r="C53" s="35" t="str">
        <f>IFERROR(__xludf.DUMMYFUNCTION("""COMPUTED_VALUE"""),"ペルノリカール")</f>
        <v>ペルノリカール</v>
      </c>
      <c r="D53" s="35"/>
      <c r="E53" s="35" t="str">
        <f>IFERROR(__xludf.DUMMYFUNCTION("""COMPUTED_VALUE"""),"ブレンデッド")</f>
        <v>ブレンデッド</v>
      </c>
      <c r="F53" s="35"/>
      <c r="G53" s="35" t="str">
        <f>IFERROR(__xludf.DUMMYFUNCTION("""COMPUTED_VALUE"""),"ジェムソン")</f>
        <v>ジェムソン</v>
      </c>
      <c r="H53" s="35"/>
      <c r="I53" s="35"/>
      <c r="J53" s="35"/>
      <c r="K53" s="35"/>
      <c r="L53" s="35" t="str">
        <f>IFERROR(__xludf.DUMMYFUNCTION("""COMPUTED_VALUE"""),"✓")</f>
        <v>✓</v>
      </c>
      <c r="M53" s="35"/>
      <c r="N53" s="36"/>
      <c r="O53" s="35"/>
      <c r="P53" s="37">
        <f>IFERROR(__xludf.DUMMYFUNCTION("""COMPUTED_VALUE"""),900.0)</f>
        <v>900</v>
      </c>
      <c r="Q53" s="37">
        <f>IFERROR(__xludf.DUMMYFUNCTION("""COMPUTED_VALUE"""),550.0)</f>
        <v>550</v>
      </c>
      <c r="R53" s="37"/>
      <c r="S53" s="38"/>
      <c r="T53" s="35"/>
      <c r="U53" s="35"/>
      <c r="V53" s="35"/>
    </row>
    <row r="54" ht="15.75" customHeight="1">
      <c r="A54" s="35" t="str">
        <f>IFERROR(__xludf.DUMMYFUNCTION("""COMPUTED_VALUE"""),"IE")</f>
        <v>IE</v>
      </c>
      <c r="B54" s="35"/>
      <c r="C54" s="35" t="str">
        <f>IFERROR(__xludf.DUMMYFUNCTION("""COMPUTED_VALUE"""),"アサヒビール")</f>
        <v>アサヒビール</v>
      </c>
      <c r="D54" s="35"/>
      <c r="E54" s="35" t="str">
        <f>IFERROR(__xludf.DUMMYFUNCTION("""COMPUTED_VALUE"""),"ブレンデッド")</f>
        <v>ブレンデッド</v>
      </c>
      <c r="F54" s="35"/>
      <c r="G54" s="35" t="str">
        <f>IFERROR(__xludf.DUMMYFUNCTION("""COMPUTED_VALUE"""),"ブッシュミルズ")</f>
        <v>ブッシュミルズ</v>
      </c>
      <c r="H54" s="35"/>
      <c r="I54" s="35"/>
      <c r="J54" s="35"/>
      <c r="K54" s="35"/>
      <c r="L54" s="35" t="str">
        <f>IFERROR(__xludf.DUMMYFUNCTION("""COMPUTED_VALUE"""),"✓")</f>
        <v>✓</v>
      </c>
      <c r="M54" s="35"/>
      <c r="N54" s="36"/>
      <c r="O54" s="35"/>
      <c r="P54" s="37">
        <f>IFERROR(__xludf.DUMMYFUNCTION("""COMPUTED_VALUE"""),900.0)</f>
        <v>900</v>
      </c>
      <c r="Q54" s="37">
        <f>IFERROR(__xludf.DUMMYFUNCTION("""COMPUTED_VALUE"""),550.0)</f>
        <v>550</v>
      </c>
      <c r="R54" s="37"/>
      <c r="S54" s="38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6"/>
      <c r="O55" s="35"/>
      <c r="P55" s="37"/>
      <c r="Q55" s="37"/>
      <c r="R55" s="37"/>
      <c r="S55" s="38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6"/>
      <c r="O56" s="35"/>
      <c r="P56" s="37"/>
      <c r="Q56" s="37"/>
      <c r="R56" s="37"/>
      <c r="S56" s="38"/>
      <c r="T56" s="35"/>
      <c r="U56" s="35"/>
      <c r="V56" s="35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4"/>
      <c r="O57" s="43"/>
      <c r="P57" s="45"/>
      <c r="Q57" s="45"/>
      <c r="R57" s="45"/>
      <c r="S57" s="46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  <c r="O58" s="43"/>
      <c r="P58" s="45"/>
      <c r="Q58" s="45"/>
      <c r="R58" s="45"/>
      <c r="S58" s="46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4"/>
      <c r="O59" s="43"/>
      <c r="P59" s="45"/>
      <c r="Q59" s="45"/>
      <c r="R59" s="45"/>
      <c r="S59" s="46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4"/>
      <c r="O60" s="43"/>
      <c r="P60" s="45"/>
      <c r="Q60" s="45"/>
      <c r="R60" s="45"/>
      <c r="S60" s="46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4"/>
      <c r="O61" s="43"/>
      <c r="P61" s="45"/>
      <c r="Q61" s="45"/>
      <c r="R61" s="45"/>
      <c r="S61" s="46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4"/>
      <c r="O62" s="43"/>
      <c r="P62" s="45"/>
      <c r="Q62" s="45"/>
      <c r="R62" s="45"/>
      <c r="S62" s="46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4"/>
      <c r="O63" s="43"/>
      <c r="P63" s="45"/>
      <c r="Q63" s="45"/>
      <c r="R63" s="45"/>
      <c r="S63" s="46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4"/>
      <c r="O64" s="43"/>
      <c r="P64" s="45"/>
      <c r="Q64" s="45"/>
      <c r="R64" s="45"/>
      <c r="S64" s="46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4"/>
      <c r="O65" s="43"/>
      <c r="P65" s="45"/>
      <c r="Q65" s="45"/>
      <c r="R65" s="45"/>
      <c r="S65" s="46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4"/>
      <c r="O66" s="43"/>
      <c r="P66" s="45"/>
      <c r="Q66" s="45"/>
      <c r="R66" s="45"/>
      <c r="S66" s="46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4"/>
      <c r="O67" s="43"/>
      <c r="P67" s="45"/>
      <c r="Q67" s="45"/>
      <c r="R67" s="45"/>
      <c r="S67" s="46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4"/>
      <c r="O68" s="43"/>
      <c r="P68" s="45"/>
      <c r="Q68" s="45"/>
      <c r="R68" s="45"/>
      <c r="S68" s="46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4"/>
      <c r="O69" s="43"/>
      <c r="P69" s="45"/>
      <c r="Q69" s="45"/>
      <c r="R69" s="45"/>
      <c r="S69" s="46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4"/>
      <c r="O70" s="43"/>
      <c r="P70" s="45"/>
      <c r="Q70" s="45"/>
      <c r="R70" s="45"/>
      <c r="S70" s="46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4"/>
      <c r="O71" s="43"/>
      <c r="P71" s="45"/>
      <c r="Q71" s="45"/>
      <c r="R71" s="45"/>
      <c r="S71" s="46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4"/>
      <c r="O72" s="43"/>
      <c r="P72" s="45"/>
      <c r="Q72" s="45"/>
      <c r="R72" s="45"/>
      <c r="S72" s="46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5"/>
      <c r="Q73" s="45"/>
      <c r="R73" s="45"/>
      <c r="S73" s="46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4"/>
      <c r="O74" s="43"/>
      <c r="P74" s="45"/>
      <c r="Q74" s="45"/>
      <c r="R74" s="45"/>
      <c r="S74" s="46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4"/>
      <c r="O75" s="43"/>
      <c r="P75" s="45"/>
      <c r="Q75" s="45"/>
      <c r="R75" s="45"/>
      <c r="S75" s="46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4"/>
      <c r="O76" s="43"/>
      <c r="P76" s="45"/>
      <c r="Q76" s="45"/>
      <c r="R76" s="45"/>
      <c r="S76" s="46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4"/>
      <c r="O77" s="43"/>
      <c r="P77" s="45"/>
      <c r="Q77" s="45"/>
      <c r="R77" s="45"/>
      <c r="S77" s="46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4"/>
      <c r="O78" s="43"/>
      <c r="P78" s="45"/>
      <c r="Q78" s="45"/>
      <c r="R78" s="45"/>
      <c r="S78" s="46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4"/>
      <c r="O79" s="43"/>
      <c r="P79" s="45"/>
      <c r="Q79" s="45"/>
      <c r="R79" s="45"/>
      <c r="S79" s="46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4"/>
      <c r="O80" s="43"/>
      <c r="P80" s="45"/>
      <c r="Q80" s="45"/>
      <c r="R80" s="45"/>
      <c r="S80" s="46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4"/>
      <c r="O81" s="43"/>
      <c r="P81" s="45"/>
      <c r="Q81" s="45"/>
      <c r="R81" s="45"/>
      <c r="S81" s="46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4"/>
      <c r="O82" s="43"/>
      <c r="P82" s="45"/>
      <c r="Q82" s="45"/>
      <c r="R82" s="45"/>
      <c r="S82" s="46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4"/>
      <c r="O83" s="43"/>
      <c r="P83" s="45"/>
      <c r="Q83" s="45"/>
      <c r="R83" s="45"/>
      <c r="S83" s="46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4"/>
      <c r="O84" s="43"/>
      <c r="P84" s="45"/>
      <c r="Q84" s="45"/>
      <c r="R84" s="45"/>
      <c r="S84" s="46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4"/>
      <c r="O85" s="43"/>
      <c r="P85" s="45"/>
      <c r="Q85" s="45"/>
      <c r="R85" s="45"/>
      <c r="S85" s="46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4"/>
      <c r="O86" s="43"/>
      <c r="P86" s="45"/>
      <c r="Q86" s="45"/>
      <c r="R86" s="45"/>
      <c r="S86" s="46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4"/>
      <c r="O87" s="43"/>
      <c r="P87" s="45"/>
      <c r="Q87" s="45"/>
      <c r="R87" s="45"/>
      <c r="S87" s="46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4"/>
      <c r="O88" s="43"/>
      <c r="P88" s="45"/>
      <c r="Q88" s="45"/>
      <c r="R88" s="45"/>
      <c r="S88" s="46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4"/>
      <c r="O89" s="43"/>
      <c r="P89" s="45"/>
      <c r="Q89" s="45"/>
      <c r="R89" s="45"/>
      <c r="S89" s="46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4"/>
      <c r="O90" s="43"/>
      <c r="P90" s="45"/>
      <c r="Q90" s="45"/>
      <c r="R90" s="45"/>
      <c r="S90" s="46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4"/>
      <c r="O91" s="43"/>
      <c r="P91" s="45"/>
      <c r="Q91" s="45"/>
      <c r="R91" s="45"/>
      <c r="S91" s="46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4"/>
      <c r="O92" s="43"/>
      <c r="P92" s="45"/>
      <c r="Q92" s="45"/>
      <c r="R92" s="45"/>
      <c r="S92" s="46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4"/>
      <c r="O93" s="43"/>
      <c r="P93" s="45"/>
      <c r="Q93" s="45"/>
      <c r="R93" s="45"/>
      <c r="S93" s="46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4"/>
      <c r="O94" s="43"/>
      <c r="P94" s="45"/>
      <c r="Q94" s="45"/>
      <c r="R94" s="45"/>
      <c r="S94" s="46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4"/>
      <c r="O95" s="43"/>
      <c r="P95" s="45"/>
      <c r="Q95" s="45"/>
      <c r="R95" s="45"/>
      <c r="S95" s="46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4"/>
      <c r="O96" s="43"/>
      <c r="P96" s="45"/>
      <c r="Q96" s="45"/>
      <c r="R96" s="45"/>
      <c r="S96" s="46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4"/>
      <c r="O97" s="43"/>
      <c r="P97" s="45"/>
      <c r="Q97" s="45"/>
      <c r="R97" s="45"/>
      <c r="S97" s="46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4"/>
      <c r="O98" s="43"/>
      <c r="P98" s="45"/>
      <c r="Q98" s="45"/>
      <c r="R98" s="45"/>
      <c r="S98" s="46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4"/>
      <c r="O99" s="43"/>
      <c r="P99" s="45"/>
      <c r="Q99" s="45"/>
      <c r="R99" s="45"/>
      <c r="S99" s="46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4"/>
      <c r="O100" s="43"/>
      <c r="P100" s="45"/>
      <c r="Q100" s="45"/>
      <c r="R100" s="45"/>
      <c r="S100" s="46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4"/>
      <c r="O101" s="43"/>
      <c r="P101" s="45"/>
      <c r="Q101" s="45"/>
      <c r="R101" s="45"/>
      <c r="S101" s="46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4"/>
      <c r="O102" s="43"/>
      <c r="P102" s="45"/>
      <c r="Q102" s="45"/>
      <c r="R102" s="45"/>
      <c r="S102" s="46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4"/>
      <c r="O103" s="43"/>
      <c r="P103" s="45"/>
      <c r="Q103" s="45"/>
      <c r="R103" s="45"/>
      <c r="S103" s="46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4"/>
      <c r="O104" s="43"/>
      <c r="P104" s="45"/>
      <c r="Q104" s="45"/>
      <c r="R104" s="45"/>
      <c r="S104" s="46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4"/>
      <c r="O105" s="43"/>
      <c r="P105" s="45"/>
      <c r="Q105" s="45"/>
      <c r="R105" s="45"/>
      <c r="S105" s="46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4"/>
      <c r="O106" s="43"/>
      <c r="P106" s="45"/>
      <c r="Q106" s="45"/>
      <c r="R106" s="45"/>
      <c r="S106" s="46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4"/>
      <c r="O107" s="43"/>
      <c r="P107" s="45"/>
      <c r="Q107" s="45"/>
      <c r="R107" s="45"/>
      <c r="S107" s="46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3"/>
      <c r="P108" s="45"/>
      <c r="Q108" s="45"/>
      <c r="R108" s="45"/>
      <c r="S108" s="46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4"/>
      <c r="O109" s="43"/>
      <c r="P109" s="45"/>
      <c r="Q109" s="45"/>
      <c r="R109" s="45"/>
      <c r="S109" s="46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4"/>
      <c r="O110" s="43"/>
      <c r="P110" s="45"/>
      <c r="Q110" s="45"/>
      <c r="R110" s="45"/>
      <c r="S110" s="46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4"/>
      <c r="O111" s="43"/>
      <c r="P111" s="45"/>
      <c r="Q111" s="45"/>
      <c r="R111" s="45"/>
      <c r="S111" s="46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5"/>
      <c r="Q112" s="45"/>
      <c r="R112" s="45"/>
      <c r="S112" s="46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4"/>
      <c r="O113" s="43"/>
      <c r="P113" s="45"/>
      <c r="Q113" s="45"/>
      <c r="R113" s="45"/>
      <c r="S113" s="46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4"/>
      <c r="O114" s="43"/>
      <c r="P114" s="45"/>
      <c r="Q114" s="45"/>
      <c r="R114" s="45"/>
      <c r="S114" s="46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4"/>
      <c r="O115" s="43"/>
      <c r="P115" s="45"/>
      <c r="Q115" s="45"/>
      <c r="R115" s="45"/>
      <c r="S115" s="46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4"/>
      <c r="O116" s="43"/>
      <c r="P116" s="45"/>
      <c r="Q116" s="45"/>
      <c r="R116" s="45"/>
      <c r="S116" s="46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4"/>
      <c r="O117" s="43"/>
      <c r="P117" s="45"/>
      <c r="Q117" s="45"/>
      <c r="R117" s="45"/>
      <c r="S117" s="46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4"/>
      <c r="O118" s="43"/>
      <c r="P118" s="45"/>
      <c r="Q118" s="45"/>
      <c r="R118" s="45"/>
      <c r="S118" s="46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4"/>
      <c r="O119" s="43"/>
      <c r="P119" s="45"/>
      <c r="Q119" s="45"/>
      <c r="R119" s="45"/>
      <c r="S119" s="46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4"/>
      <c r="O120" s="43"/>
      <c r="P120" s="45"/>
      <c r="Q120" s="45"/>
      <c r="R120" s="45"/>
      <c r="S120" s="46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4"/>
      <c r="O121" s="43"/>
      <c r="P121" s="45"/>
      <c r="Q121" s="45"/>
      <c r="R121" s="45"/>
      <c r="S121" s="46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4"/>
      <c r="O122" s="43"/>
      <c r="P122" s="45"/>
      <c r="Q122" s="45"/>
      <c r="R122" s="45"/>
      <c r="S122" s="46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4"/>
      <c r="O123" s="43"/>
      <c r="P123" s="45"/>
      <c r="Q123" s="45"/>
      <c r="R123" s="45"/>
      <c r="S123" s="46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4"/>
      <c r="O124" s="43"/>
      <c r="P124" s="45"/>
      <c r="Q124" s="45"/>
      <c r="R124" s="45"/>
      <c r="S124" s="46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4"/>
      <c r="O125" s="43"/>
      <c r="P125" s="45"/>
      <c r="Q125" s="45"/>
      <c r="R125" s="45"/>
      <c r="S125" s="46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4"/>
      <c r="O126" s="43"/>
      <c r="P126" s="45"/>
      <c r="Q126" s="45"/>
      <c r="R126" s="45"/>
      <c r="S126" s="46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4"/>
      <c r="O127" s="43"/>
      <c r="P127" s="45"/>
      <c r="Q127" s="45"/>
      <c r="R127" s="45"/>
      <c r="S127" s="46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4"/>
      <c r="O128" s="43"/>
      <c r="P128" s="45"/>
      <c r="Q128" s="45"/>
      <c r="R128" s="45"/>
      <c r="S128" s="46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4"/>
      <c r="O129" s="43"/>
      <c r="P129" s="45"/>
      <c r="Q129" s="45"/>
      <c r="R129" s="45"/>
      <c r="S129" s="46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4"/>
      <c r="O130" s="43"/>
      <c r="P130" s="45"/>
      <c r="Q130" s="45"/>
      <c r="R130" s="45"/>
      <c r="S130" s="46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4"/>
      <c r="O131" s="43"/>
      <c r="P131" s="45"/>
      <c r="Q131" s="45"/>
      <c r="R131" s="45"/>
      <c r="S131" s="46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4"/>
      <c r="O132" s="43"/>
      <c r="P132" s="45"/>
      <c r="Q132" s="45"/>
      <c r="R132" s="45"/>
      <c r="S132" s="46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4"/>
      <c r="O133" s="43"/>
      <c r="P133" s="45"/>
      <c r="Q133" s="45"/>
      <c r="R133" s="45"/>
      <c r="S133" s="46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4"/>
      <c r="O134" s="43"/>
      <c r="P134" s="45"/>
      <c r="Q134" s="45"/>
      <c r="R134" s="45"/>
      <c r="S134" s="46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4"/>
      <c r="O135" s="43"/>
      <c r="P135" s="45"/>
      <c r="Q135" s="45"/>
      <c r="R135" s="45"/>
      <c r="S135" s="46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4"/>
      <c r="O136" s="43"/>
      <c r="P136" s="45"/>
      <c r="Q136" s="45"/>
      <c r="R136" s="45"/>
      <c r="S136" s="46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4"/>
      <c r="O137" s="43"/>
      <c r="P137" s="45"/>
      <c r="Q137" s="45"/>
      <c r="R137" s="45"/>
      <c r="S137" s="46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4"/>
      <c r="O138" s="43"/>
      <c r="P138" s="45"/>
      <c r="Q138" s="45"/>
      <c r="R138" s="45"/>
      <c r="S138" s="46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4"/>
      <c r="O139" s="43"/>
      <c r="P139" s="45"/>
      <c r="Q139" s="45"/>
      <c r="R139" s="45"/>
      <c r="S139" s="46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4"/>
      <c r="O140" s="43"/>
      <c r="P140" s="45"/>
      <c r="Q140" s="45"/>
      <c r="R140" s="45"/>
      <c r="S140" s="46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4"/>
      <c r="O141" s="43"/>
      <c r="P141" s="45"/>
      <c r="Q141" s="45"/>
      <c r="R141" s="45"/>
      <c r="S141" s="46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4"/>
      <c r="O142" s="43"/>
      <c r="P142" s="45"/>
      <c r="Q142" s="45"/>
      <c r="R142" s="45"/>
      <c r="S142" s="46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4"/>
      <c r="O143" s="43"/>
      <c r="P143" s="45"/>
      <c r="Q143" s="45"/>
      <c r="R143" s="45"/>
      <c r="S143" s="46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4"/>
      <c r="O144" s="43"/>
      <c r="P144" s="45"/>
      <c r="Q144" s="45"/>
      <c r="R144" s="45"/>
      <c r="S144" s="46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4"/>
      <c r="O145" s="43"/>
      <c r="P145" s="45"/>
      <c r="Q145" s="45"/>
      <c r="R145" s="45"/>
      <c r="S145" s="46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4"/>
      <c r="O146" s="43"/>
      <c r="P146" s="45"/>
      <c r="Q146" s="45"/>
      <c r="R146" s="45"/>
      <c r="S146" s="46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4"/>
      <c r="O147" s="43"/>
      <c r="P147" s="45"/>
      <c r="Q147" s="45"/>
      <c r="R147" s="45"/>
      <c r="S147" s="46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4"/>
      <c r="O148" s="43"/>
      <c r="P148" s="45"/>
      <c r="Q148" s="45"/>
      <c r="R148" s="45"/>
      <c r="S148" s="46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4"/>
      <c r="O149" s="43"/>
      <c r="P149" s="45"/>
      <c r="Q149" s="45"/>
      <c r="R149" s="45"/>
      <c r="S149" s="46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4"/>
      <c r="O150" s="43"/>
      <c r="P150" s="45"/>
      <c r="Q150" s="45"/>
      <c r="R150" s="45"/>
      <c r="S150" s="46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5"/>
      <c r="Q151" s="45"/>
      <c r="R151" s="45"/>
      <c r="S151" s="46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4"/>
      <c r="O152" s="43"/>
      <c r="P152" s="45"/>
      <c r="Q152" s="45"/>
      <c r="R152" s="45"/>
      <c r="S152" s="46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4"/>
      <c r="O153" s="43"/>
      <c r="P153" s="45"/>
      <c r="Q153" s="45"/>
      <c r="R153" s="45"/>
      <c r="S153" s="46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4"/>
      <c r="O154" s="43"/>
      <c r="P154" s="45"/>
      <c r="Q154" s="45"/>
      <c r="R154" s="45"/>
      <c r="S154" s="46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4"/>
      <c r="O155" s="43"/>
      <c r="P155" s="45"/>
      <c r="Q155" s="45"/>
      <c r="R155" s="45"/>
      <c r="S155" s="46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4"/>
      <c r="O156" s="43"/>
      <c r="P156" s="45"/>
      <c r="Q156" s="45"/>
      <c r="R156" s="45"/>
      <c r="S156" s="46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4"/>
      <c r="O157" s="43"/>
      <c r="P157" s="45"/>
      <c r="Q157" s="45"/>
      <c r="R157" s="45"/>
      <c r="S157" s="46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4"/>
      <c r="O158" s="43"/>
      <c r="P158" s="45"/>
      <c r="Q158" s="45"/>
      <c r="R158" s="45"/>
      <c r="S158" s="46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4"/>
      <c r="O159" s="43"/>
      <c r="P159" s="45"/>
      <c r="Q159" s="45"/>
      <c r="R159" s="45"/>
      <c r="S159" s="46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4"/>
      <c r="O160" s="43"/>
      <c r="P160" s="45"/>
      <c r="Q160" s="45"/>
      <c r="R160" s="45"/>
      <c r="S160" s="46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4"/>
      <c r="O161" s="43"/>
      <c r="P161" s="45"/>
      <c r="Q161" s="45"/>
      <c r="R161" s="45"/>
      <c r="S161" s="46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4"/>
      <c r="O162" s="43"/>
      <c r="P162" s="45"/>
      <c r="Q162" s="45"/>
      <c r="R162" s="45"/>
      <c r="S162" s="46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4"/>
      <c r="O163" s="43"/>
      <c r="P163" s="45"/>
      <c r="Q163" s="45"/>
      <c r="R163" s="45"/>
      <c r="S163" s="46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4"/>
      <c r="O164" s="43"/>
      <c r="P164" s="45"/>
      <c r="Q164" s="45"/>
      <c r="R164" s="45"/>
      <c r="S164" s="46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4"/>
      <c r="O165" s="43"/>
      <c r="P165" s="45"/>
      <c r="Q165" s="45"/>
      <c r="R165" s="45"/>
      <c r="S165" s="46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4"/>
      <c r="O166" s="43"/>
      <c r="P166" s="45"/>
      <c r="Q166" s="45"/>
      <c r="R166" s="45"/>
      <c r="S166" s="46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4"/>
      <c r="O167" s="43"/>
      <c r="P167" s="45"/>
      <c r="Q167" s="45"/>
      <c r="R167" s="45"/>
      <c r="S167" s="46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4"/>
      <c r="O168" s="43"/>
      <c r="P168" s="45"/>
      <c r="Q168" s="45"/>
      <c r="R168" s="45"/>
      <c r="S168" s="46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4"/>
      <c r="O169" s="43"/>
      <c r="P169" s="45"/>
      <c r="Q169" s="45"/>
      <c r="R169" s="45"/>
      <c r="S169" s="46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4"/>
      <c r="O170" s="43"/>
      <c r="P170" s="45"/>
      <c r="Q170" s="45"/>
      <c r="R170" s="45"/>
      <c r="S170" s="46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4"/>
      <c r="O171" s="43"/>
      <c r="P171" s="45"/>
      <c r="Q171" s="45"/>
      <c r="R171" s="45"/>
      <c r="S171" s="46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4"/>
      <c r="O172" s="43"/>
      <c r="P172" s="45"/>
      <c r="Q172" s="45"/>
      <c r="R172" s="45"/>
      <c r="S172" s="46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4"/>
      <c r="O173" s="43"/>
      <c r="P173" s="45"/>
      <c r="Q173" s="45"/>
      <c r="R173" s="45"/>
      <c r="S173" s="46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4"/>
      <c r="O174" s="43"/>
      <c r="P174" s="45"/>
      <c r="Q174" s="45"/>
      <c r="R174" s="45"/>
      <c r="S174" s="46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4"/>
      <c r="O175" s="43"/>
      <c r="P175" s="45"/>
      <c r="Q175" s="45"/>
      <c r="R175" s="45"/>
      <c r="S175" s="46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4"/>
      <c r="O176" s="43"/>
      <c r="P176" s="45"/>
      <c r="Q176" s="45"/>
      <c r="R176" s="45"/>
      <c r="S176" s="46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4"/>
      <c r="O177" s="43"/>
      <c r="P177" s="45"/>
      <c r="Q177" s="45"/>
      <c r="R177" s="45"/>
      <c r="S177" s="46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4"/>
      <c r="O178" s="43"/>
      <c r="P178" s="45"/>
      <c r="Q178" s="45"/>
      <c r="R178" s="45"/>
      <c r="S178" s="46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4"/>
      <c r="O179" s="43"/>
      <c r="P179" s="45"/>
      <c r="Q179" s="45"/>
      <c r="R179" s="45"/>
      <c r="S179" s="46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4"/>
      <c r="O180" s="43"/>
      <c r="P180" s="45"/>
      <c r="Q180" s="45"/>
      <c r="R180" s="45"/>
      <c r="S180" s="46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4"/>
      <c r="O181" s="43"/>
      <c r="P181" s="45"/>
      <c r="Q181" s="45"/>
      <c r="R181" s="45"/>
      <c r="S181" s="46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4"/>
      <c r="O182" s="43"/>
      <c r="P182" s="45"/>
      <c r="Q182" s="45"/>
      <c r="R182" s="45"/>
      <c r="S182" s="46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4"/>
      <c r="O183" s="43"/>
      <c r="P183" s="45"/>
      <c r="Q183" s="45"/>
      <c r="R183" s="45"/>
      <c r="S183" s="46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4"/>
      <c r="O184" s="43"/>
      <c r="P184" s="45"/>
      <c r="Q184" s="45"/>
      <c r="R184" s="45"/>
      <c r="S184" s="46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4"/>
      <c r="O185" s="43"/>
      <c r="P185" s="45"/>
      <c r="Q185" s="45"/>
      <c r="R185" s="45"/>
      <c r="S185" s="46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4"/>
      <c r="O186" s="43"/>
      <c r="P186" s="45"/>
      <c r="Q186" s="45"/>
      <c r="R186" s="45"/>
      <c r="S186" s="46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4"/>
      <c r="O187" s="43"/>
      <c r="P187" s="45"/>
      <c r="Q187" s="45"/>
      <c r="R187" s="45"/>
      <c r="S187" s="46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4"/>
      <c r="O188" s="43"/>
      <c r="P188" s="45"/>
      <c r="Q188" s="45"/>
      <c r="R188" s="45"/>
      <c r="S188" s="46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4"/>
      <c r="O189" s="43"/>
      <c r="P189" s="45"/>
      <c r="Q189" s="45"/>
      <c r="R189" s="45"/>
      <c r="S189" s="46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5"/>
      <c r="Q190" s="45"/>
      <c r="R190" s="45"/>
      <c r="S190" s="46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4"/>
      <c r="O191" s="43"/>
      <c r="P191" s="45"/>
      <c r="Q191" s="45"/>
      <c r="R191" s="45"/>
      <c r="S191" s="46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4"/>
      <c r="O192" s="43"/>
      <c r="P192" s="45"/>
      <c r="Q192" s="45"/>
      <c r="R192" s="45"/>
      <c r="S192" s="46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4"/>
      <c r="O193" s="43"/>
      <c r="P193" s="45"/>
      <c r="Q193" s="45"/>
      <c r="R193" s="45"/>
      <c r="S193" s="46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4"/>
      <c r="O194" s="43"/>
      <c r="P194" s="45"/>
      <c r="Q194" s="45"/>
      <c r="R194" s="45"/>
      <c r="S194" s="46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4"/>
      <c r="O195" s="43"/>
      <c r="P195" s="45"/>
      <c r="Q195" s="45"/>
      <c r="R195" s="45"/>
      <c r="S195" s="46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4"/>
      <c r="O196" s="43"/>
      <c r="P196" s="45"/>
      <c r="Q196" s="45"/>
      <c r="R196" s="45"/>
      <c r="S196" s="46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4"/>
      <c r="O197" s="43"/>
      <c r="P197" s="45"/>
      <c r="Q197" s="45"/>
      <c r="R197" s="45"/>
      <c r="S197" s="46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4"/>
      <c r="O198" s="43"/>
      <c r="P198" s="45"/>
      <c r="Q198" s="45"/>
      <c r="R198" s="45"/>
      <c r="S198" s="46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4"/>
      <c r="O199" s="43"/>
      <c r="P199" s="45"/>
      <c r="Q199" s="45"/>
      <c r="R199" s="45"/>
      <c r="S199" s="46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4"/>
      <c r="O200" s="43"/>
      <c r="P200" s="45"/>
      <c r="Q200" s="45"/>
      <c r="R200" s="45"/>
      <c r="S200" s="46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4"/>
      <c r="O201" s="43"/>
      <c r="P201" s="45"/>
      <c r="Q201" s="45"/>
      <c r="R201" s="45"/>
      <c r="S201" s="46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4"/>
      <c r="O202" s="43"/>
      <c r="P202" s="45"/>
      <c r="Q202" s="45"/>
      <c r="R202" s="45"/>
      <c r="S202" s="46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4"/>
      <c r="O203" s="43"/>
      <c r="P203" s="45"/>
      <c r="Q203" s="45"/>
      <c r="R203" s="45"/>
      <c r="S203" s="46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4"/>
      <c r="O204" s="43"/>
      <c r="P204" s="45"/>
      <c r="Q204" s="45"/>
      <c r="R204" s="45"/>
      <c r="S204" s="46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4"/>
      <c r="O205" s="43"/>
      <c r="P205" s="45"/>
      <c r="Q205" s="45"/>
      <c r="R205" s="45"/>
      <c r="S205" s="46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4"/>
      <c r="O206" s="43"/>
      <c r="P206" s="45"/>
      <c r="Q206" s="45"/>
      <c r="R206" s="45"/>
      <c r="S206" s="46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4"/>
      <c r="O207" s="43"/>
      <c r="P207" s="45"/>
      <c r="Q207" s="45"/>
      <c r="R207" s="45"/>
      <c r="S207" s="46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4"/>
      <c r="O208" s="43"/>
      <c r="P208" s="45"/>
      <c r="Q208" s="45"/>
      <c r="R208" s="45"/>
      <c r="S208" s="46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4"/>
      <c r="O209" s="43"/>
      <c r="P209" s="45"/>
      <c r="Q209" s="45"/>
      <c r="R209" s="45"/>
      <c r="S209" s="46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4"/>
      <c r="O210" s="43"/>
      <c r="P210" s="45"/>
      <c r="Q210" s="45"/>
      <c r="R210" s="45"/>
      <c r="S210" s="46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4"/>
      <c r="O211" s="43"/>
      <c r="P211" s="45"/>
      <c r="Q211" s="45"/>
      <c r="R211" s="45"/>
      <c r="S211" s="46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4"/>
      <c r="O212" s="43"/>
      <c r="P212" s="45"/>
      <c r="Q212" s="45"/>
      <c r="R212" s="45"/>
      <c r="S212" s="46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4"/>
      <c r="O213" s="43"/>
      <c r="P213" s="45"/>
      <c r="Q213" s="45"/>
      <c r="R213" s="45"/>
      <c r="S213" s="46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4"/>
      <c r="O214" s="43"/>
      <c r="P214" s="45"/>
      <c r="Q214" s="45"/>
      <c r="R214" s="45"/>
      <c r="S214" s="46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4"/>
      <c r="O215" s="43"/>
      <c r="P215" s="45"/>
      <c r="Q215" s="45"/>
      <c r="R215" s="45"/>
      <c r="S215" s="46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4"/>
      <c r="O216" s="43"/>
      <c r="P216" s="45"/>
      <c r="Q216" s="45"/>
      <c r="R216" s="45"/>
      <c r="S216" s="46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4"/>
      <c r="O217" s="43"/>
      <c r="P217" s="45"/>
      <c r="Q217" s="45"/>
      <c r="R217" s="45"/>
      <c r="S217" s="46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4"/>
      <c r="O218" s="43"/>
      <c r="P218" s="45"/>
      <c r="Q218" s="45"/>
      <c r="R218" s="45"/>
      <c r="S218" s="46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4"/>
      <c r="O219" s="43"/>
      <c r="P219" s="45"/>
      <c r="Q219" s="45"/>
      <c r="R219" s="45"/>
      <c r="S219" s="46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4"/>
      <c r="O220" s="43"/>
      <c r="P220" s="45"/>
      <c r="Q220" s="45"/>
      <c r="R220" s="45"/>
      <c r="S220" s="46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4"/>
      <c r="O221" s="43"/>
      <c r="P221" s="45"/>
      <c r="Q221" s="45"/>
      <c r="R221" s="45"/>
      <c r="S221" s="46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4"/>
      <c r="O222" s="43"/>
      <c r="P222" s="45"/>
      <c r="Q222" s="45"/>
      <c r="R222" s="45"/>
      <c r="S222" s="46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4"/>
      <c r="O223" s="43"/>
      <c r="P223" s="45"/>
      <c r="Q223" s="45"/>
      <c r="R223" s="45"/>
      <c r="S223" s="46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4"/>
      <c r="O224" s="43"/>
      <c r="P224" s="45"/>
      <c r="Q224" s="45"/>
      <c r="R224" s="45"/>
      <c r="S224" s="46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4"/>
      <c r="O225" s="43"/>
      <c r="P225" s="45"/>
      <c r="Q225" s="45"/>
      <c r="R225" s="45"/>
      <c r="S225" s="46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4"/>
      <c r="O226" s="43"/>
      <c r="P226" s="45"/>
      <c r="Q226" s="45"/>
      <c r="R226" s="45"/>
      <c r="S226" s="46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4"/>
      <c r="O227" s="43"/>
      <c r="P227" s="45"/>
      <c r="Q227" s="45"/>
      <c r="R227" s="45"/>
      <c r="S227" s="46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4"/>
      <c r="O228" s="43"/>
      <c r="P228" s="45"/>
      <c r="Q228" s="45"/>
      <c r="R228" s="45"/>
      <c r="S228" s="46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4"/>
      <c r="O229" s="43"/>
      <c r="P229" s="45"/>
      <c r="Q229" s="45"/>
      <c r="R229" s="45"/>
      <c r="S229" s="46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4"/>
      <c r="O230" s="43"/>
      <c r="P230" s="45"/>
      <c r="Q230" s="45"/>
      <c r="R230" s="45"/>
      <c r="S230" s="46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4"/>
      <c r="O231" s="43"/>
      <c r="P231" s="45"/>
      <c r="Q231" s="45"/>
      <c r="R231" s="45"/>
      <c r="S231" s="46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4"/>
      <c r="O232" s="43"/>
      <c r="P232" s="45"/>
      <c r="Q232" s="45"/>
      <c r="R232" s="45"/>
      <c r="S232" s="46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4"/>
      <c r="O233" s="43"/>
      <c r="P233" s="45"/>
      <c r="Q233" s="45"/>
      <c r="R233" s="45"/>
      <c r="S233" s="46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4"/>
      <c r="O234" s="43"/>
      <c r="P234" s="45"/>
      <c r="Q234" s="45"/>
      <c r="R234" s="45"/>
      <c r="S234" s="46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4"/>
      <c r="O235" s="43"/>
      <c r="P235" s="45"/>
      <c r="Q235" s="45"/>
      <c r="R235" s="45"/>
      <c r="S235" s="46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4"/>
      <c r="O236" s="43"/>
      <c r="P236" s="45"/>
      <c r="Q236" s="45"/>
      <c r="R236" s="45"/>
      <c r="S236" s="46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4"/>
      <c r="O237" s="43"/>
      <c r="P237" s="45"/>
      <c r="Q237" s="45"/>
      <c r="R237" s="45"/>
      <c r="S237" s="46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4"/>
      <c r="O238" s="43"/>
      <c r="P238" s="45"/>
      <c r="Q238" s="45"/>
      <c r="R238" s="45"/>
      <c r="S238" s="46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4"/>
      <c r="O239" s="43"/>
      <c r="P239" s="45"/>
      <c r="Q239" s="45"/>
      <c r="R239" s="45"/>
      <c r="S239" s="46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4"/>
      <c r="O240" s="43"/>
      <c r="P240" s="45"/>
      <c r="Q240" s="45"/>
      <c r="R240" s="45"/>
      <c r="S240" s="46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4"/>
      <c r="O241" s="43"/>
      <c r="P241" s="45"/>
      <c r="Q241" s="45"/>
      <c r="R241" s="45"/>
      <c r="S241" s="46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4"/>
      <c r="O242" s="43"/>
      <c r="P242" s="45"/>
      <c r="Q242" s="45"/>
      <c r="R242" s="45"/>
      <c r="S242" s="46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4"/>
      <c r="O243" s="43"/>
      <c r="P243" s="45"/>
      <c r="Q243" s="45"/>
      <c r="R243" s="45"/>
      <c r="S243" s="46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4"/>
      <c r="O244" s="43"/>
      <c r="P244" s="45"/>
      <c r="Q244" s="45"/>
      <c r="R244" s="45"/>
      <c r="S244" s="46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4"/>
      <c r="O245" s="43"/>
      <c r="P245" s="45"/>
      <c r="Q245" s="45"/>
      <c r="R245" s="45"/>
      <c r="S245" s="46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4"/>
      <c r="O246" s="43"/>
      <c r="P246" s="45"/>
      <c r="Q246" s="45"/>
      <c r="R246" s="45"/>
      <c r="S246" s="46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4"/>
      <c r="O247" s="43"/>
      <c r="P247" s="45"/>
      <c r="Q247" s="45"/>
      <c r="R247" s="45"/>
      <c r="S247" s="46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4"/>
      <c r="O248" s="43"/>
      <c r="P248" s="45"/>
      <c r="Q248" s="45"/>
      <c r="R248" s="45"/>
      <c r="S248" s="46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4"/>
      <c r="O249" s="43"/>
      <c r="P249" s="45"/>
      <c r="Q249" s="45"/>
      <c r="R249" s="45"/>
      <c r="S249" s="46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4"/>
      <c r="O250" s="43"/>
      <c r="P250" s="45"/>
      <c r="Q250" s="45"/>
      <c r="R250" s="45"/>
      <c r="S250" s="46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4"/>
      <c r="O251" s="43"/>
      <c r="P251" s="45"/>
      <c r="Q251" s="45"/>
      <c r="R251" s="45"/>
      <c r="S251" s="46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4"/>
      <c r="O252" s="43"/>
      <c r="P252" s="45"/>
      <c r="Q252" s="45"/>
      <c r="R252" s="45"/>
      <c r="S252" s="46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4"/>
      <c r="O253" s="43"/>
      <c r="P253" s="45"/>
      <c r="Q253" s="45"/>
      <c r="R253" s="45"/>
      <c r="S253" s="46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4"/>
      <c r="O254" s="43"/>
      <c r="P254" s="45"/>
      <c r="Q254" s="45"/>
      <c r="R254" s="45"/>
      <c r="S254" s="46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4"/>
      <c r="O255" s="43"/>
      <c r="P255" s="45"/>
      <c r="Q255" s="45"/>
      <c r="R255" s="45"/>
      <c r="S255" s="46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4"/>
      <c r="O256" s="43"/>
      <c r="P256" s="45"/>
      <c r="Q256" s="45"/>
      <c r="R256" s="45"/>
      <c r="S256" s="46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4"/>
      <c r="O257" s="43"/>
      <c r="P257" s="45"/>
      <c r="Q257" s="45"/>
      <c r="R257" s="45"/>
      <c r="S257" s="46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4"/>
      <c r="O258" s="43"/>
      <c r="P258" s="45"/>
      <c r="Q258" s="45"/>
      <c r="R258" s="45"/>
      <c r="S258" s="46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4"/>
      <c r="O259" s="43"/>
      <c r="P259" s="45"/>
      <c r="Q259" s="45"/>
      <c r="R259" s="45"/>
      <c r="S259" s="46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4"/>
      <c r="O260" s="43"/>
      <c r="P260" s="45"/>
      <c r="Q260" s="45"/>
      <c r="R260" s="45"/>
      <c r="S260" s="46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4"/>
      <c r="O261" s="43"/>
      <c r="P261" s="45"/>
      <c r="Q261" s="45"/>
      <c r="R261" s="45"/>
      <c r="S261" s="46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4"/>
      <c r="O262" s="43"/>
      <c r="P262" s="45"/>
      <c r="Q262" s="45"/>
      <c r="R262" s="45"/>
      <c r="S262" s="46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4"/>
      <c r="O263" s="43"/>
      <c r="P263" s="45"/>
      <c r="Q263" s="45"/>
      <c r="R263" s="45"/>
      <c r="S263" s="46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4"/>
      <c r="O264" s="43"/>
      <c r="P264" s="45"/>
      <c r="Q264" s="45"/>
      <c r="R264" s="45"/>
      <c r="S264" s="46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4"/>
      <c r="O265" s="43"/>
      <c r="P265" s="45"/>
      <c r="Q265" s="45"/>
      <c r="R265" s="45"/>
      <c r="S265" s="46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4"/>
      <c r="O266" s="43"/>
      <c r="P266" s="45"/>
      <c r="Q266" s="45"/>
      <c r="R266" s="45"/>
      <c r="S266" s="46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4"/>
      <c r="O267" s="43"/>
      <c r="P267" s="45"/>
      <c r="Q267" s="45"/>
      <c r="R267" s="45"/>
      <c r="S267" s="46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4"/>
      <c r="O268" s="43"/>
      <c r="P268" s="45"/>
      <c r="Q268" s="45"/>
      <c r="R268" s="45"/>
      <c r="S268" s="46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4"/>
      <c r="O269" s="43"/>
      <c r="P269" s="45"/>
      <c r="Q269" s="45"/>
      <c r="R269" s="45"/>
      <c r="S269" s="46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4"/>
      <c r="O270" s="43"/>
      <c r="P270" s="45"/>
      <c r="Q270" s="45"/>
      <c r="R270" s="45"/>
      <c r="S270" s="46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4"/>
      <c r="O271" s="43"/>
      <c r="P271" s="45"/>
      <c r="Q271" s="45"/>
      <c r="R271" s="45"/>
      <c r="S271" s="46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4"/>
      <c r="O272" s="43"/>
      <c r="P272" s="45"/>
      <c r="Q272" s="45"/>
      <c r="R272" s="45"/>
      <c r="S272" s="46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4"/>
      <c r="O273" s="43"/>
      <c r="P273" s="45"/>
      <c r="Q273" s="45"/>
      <c r="R273" s="45"/>
      <c r="S273" s="46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4"/>
      <c r="O274" s="43"/>
      <c r="P274" s="45"/>
      <c r="Q274" s="45"/>
      <c r="R274" s="45"/>
      <c r="S274" s="46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4"/>
      <c r="O275" s="43"/>
      <c r="P275" s="45"/>
      <c r="Q275" s="45"/>
      <c r="R275" s="45"/>
      <c r="S275" s="46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4"/>
      <c r="O276" s="43"/>
      <c r="P276" s="45"/>
      <c r="Q276" s="45"/>
      <c r="R276" s="45"/>
      <c r="S276" s="46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4"/>
      <c r="O277" s="43"/>
      <c r="P277" s="45"/>
      <c r="Q277" s="45"/>
      <c r="R277" s="45"/>
      <c r="S277" s="46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4"/>
      <c r="O278" s="43"/>
      <c r="P278" s="45"/>
      <c r="Q278" s="45"/>
      <c r="R278" s="45"/>
      <c r="S278" s="46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4"/>
      <c r="O279" s="43"/>
      <c r="P279" s="45"/>
      <c r="Q279" s="45"/>
      <c r="R279" s="45"/>
      <c r="S279" s="46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4"/>
      <c r="O280" s="43"/>
      <c r="P280" s="45"/>
      <c r="Q280" s="45"/>
      <c r="R280" s="45"/>
      <c r="S280" s="46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4"/>
      <c r="O281" s="43"/>
      <c r="P281" s="45"/>
      <c r="Q281" s="45"/>
      <c r="R281" s="45"/>
      <c r="S281" s="46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4"/>
      <c r="O282" s="43"/>
      <c r="P282" s="45"/>
      <c r="Q282" s="45"/>
      <c r="R282" s="45"/>
      <c r="S282" s="46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4"/>
      <c r="O283" s="43"/>
      <c r="P283" s="45"/>
      <c r="Q283" s="45"/>
      <c r="R283" s="45"/>
      <c r="S283" s="46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4"/>
      <c r="O284" s="43"/>
      <c r="P284" s="45"/>
      <c r="Q284" s="45"/>
      <c r="R284" s="45"/>
      <c r="S284" s="46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4"/>
      <c r="O285" s="43"/>
      <c r="P285" s="45"/>
      <c r="Q285" s="45"/>
      <c r="R285" s="45"/>
      <c r="S285" s="46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4"/>
      <c r="O286" s="43"/>
      <c r="P286" s="45"/>
      <c r="Q286" s="45"/>
      <c r="R286" s="45"/>
      <c r="S286" s="46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4"/>
      <c r="O287" s="43"/>
      <c r="P287" s="45"/>
      <c r="Q287" s="45"/>
      <c r="R287" s="45"/>
      <c r="S287" s="46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4"/>
      <c r="O288" s="43"/>
      <c r="P288" s="45"/>
      <c r="Q288" s="45"/>
      <c r="R288" s="45"/>
      <c r="S288" s="46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4"/>
      <c r="O289" s="43"/>
      <c r="P289" s="45"/>
      <c r="Q289" s="45"/>
      <c r="R289" s="45"/>
      <c r="S289" s="46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4"/>
      <c r="O290" s="43"/>
      <c r="P290" s="45"/>
      <c r="Q290" s="45"/>
      <c r="R290" s="45"/>
      <c r="S290" s="46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4"/>
      <c r="O291" s="43"/>
      <c r="P291" s="45"/>
      <c r="Q291" s="45"/>
      <c r="R291" s="45"/>
      <c r="S291" s="46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4"/>
      <c r="O292" s="43"/>
      <c r="P292" s="45"/>
      <c r="Q292" s="45"/>
      <c r="R292" s="45"/>
      <c r="S292" s="46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4"/>
      <c r="O293" s="43"/>
      <c r="P293" s="45"/>
      <c r="Q293" s="45"/>
      <c r="R293" s="45"/>
      <c r="S293" s="46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4"/>
      <c r="O294" s="43"/>
      <c r="P294" s="45"/>
      <c r="Q294" s="45"/>
      <c r="R294" s="45"/>
      <c r="S294" s="46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4"/>
      <c r="O295" s="43"/>
      <c r="P295" s="45"/>
      <c r="Q295" s="45"/>
      <c r="R295" s="45"/>
      <c r="S295" s="46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4"/>
      <c r="O296" s="43"/>
      <c r="P296" s="45"/>
      <c r="Q296" s="45"/>
      <c r="R296" s="45"/>
      <c r="S296" s="46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4"/>
      <c r="O297" s="43"/>
      <c r="P297" s="45"/>
      <c r="Q297" s="45"/>
      <c r="R297" s="45"/>
      <c r="S297" s="46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4"/>
      <c r="O298" s="43"/>
      <c r="P298" s="45"/>
      <c r="Q298" s="45"/>
      <c r="R298" s="45"/>
      <c r="S298" s="46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4"/>
      <c r="O299" s="43"/>
      <c r="P299" s="45"/>
      <c r="Q299" s="45"/>
      <c r="R299" s="45"/>
      <c r="S299" s="46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4"/>
      <c r="O300" s="43"/>
      <c r="P300" s="45"/>
      <c r="Q300" s="45"/>
      <c r="R300" s="45"/>
      <c r="S300" s="46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4"/>
      <c r="O301" s="43"/>
      <c r="P301" s="45"/>
      <c r="Q301" s="45"/>
      <c r="R301" s="45"/>
      <c r="S301" s="46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4"/>
      <c r="O302" s="43"/>
      <c r="P302" s="45"/>
      <c r="Q302" s="45"/>
      <c r="R302" s="45"/>
      <c r="S302" s="46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4"/>
      <c r="O303" s="43"/>
      <c r="P303" s="45"/>
      <c r="Q303" s="45"/>
      <c r="R303" s="45"/>
      <c r="S303" s="46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4"/>
      <c r="O304" s="43"/>
      <c r="P304" s="45"/>
      <c r="Q304" s="45"/>
      <c r="R304" s="45"/>
      <c r="S304" s="46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4"/>
      <c r="O305" s="43"/>
      <c r="P305" s="45"/>
      <c r="Q305" s="45"/>
      <c r="R305" s="45"/>
      <c r="S305" s="46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4"/>
      <c r="O306" s="43"/>
      <c r="P306" s="45"/>
      <c r="Q306" s="45"/>
      <c r="R306" s="45"/>
      <c r="S306" s="46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4"/>
      <c r="O307" s="43"/>
      <c r="P307" s="45"/>
      <c r="Q307" s="45"/>
      <c r="R307" s="45"/>
      <c r="S307" s="46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4"/>
      <c r="O308" s="43"/>
      <c r="P308" s="45"/>
      <c r="Q308" s="45"/>
      <c r="R308" s="45"/>
      <c r="S308" s="46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4"/>
      <c r="O309" s="43"/>
      <c r="P309" s="45"/>
      <c r="Q309" s="45"/>
      <c r="R309" s="45"/>
      <c r="S309" s="46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4"/>
      <c r="O310" s="43"/>
      <c r="P310" s="45"/>
      <c r="Q310" s="45"/>
      <c r="R310" s="45"/>
      <c r="S310" s="46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4"/>
      <c r="O311" s="43"/>
      <c r="P311" s="45"/>
      <c r="Q311" s="45"/>
      <c r="R311" s="45"/>
      <c r="S311" s="46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4"/>
      <c r="O312" s="43"/>
      <c r="P312" s="45"/>
      <c r="Q312" s="45"/>
      <c r="R312" s="45"/>
      <c r="S312" s="46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4"/>
      <c r="O313" s="43"/>
      <c r="P313" s="45"/>
      <c r="Q313" s="45"/>
      <c r="R313" s="45"/>
      <c r="S313" s="46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4"/>
      <c r="O314" s="43"/>
      <c r="P314" s="45"/>
      <c r="Q314" s="45"/>
      <c r="R314" s="45"/>
      <c r="S314" s="46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4"/>
      <c r="O315" s="43"/>
      <c r="P315" s="45"/>
      <c r="Q315" s="45"/>
      <c r="R315" s="45"/>
      <c r="S315" s="46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4"/>
      <c r="O316" s="43"/>
      <c r="P316" s="45"/>
      <c r="Q316" s="45"/>
      <c r="R316" s="45"/>
      <c r="S316" s="46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4"/>
      <c r="O317" s="43"/>
      <c r="P317" s="45"/>
      <c r="Q317" s="45"/>
      <c r="R317" s="45"/>
      <c r="S317" s="46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4"/>
      <c r="O318" s="43"/>
      <c r="P318" s="45"/>
      <c r="Q318" s="45"/>
      <c r="R318" s="45"/>
      <c r="S318" s="46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4"/>
      <c r="O319" s="43"/>
      <c r="P319" s="45"/>
      <c r="Q319" s="45"/>
      <c r="R319" s="45"/>
      <c r="S319" s="46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4"/>
      <c r="O320" s="43"/>
      <c r="P320" s="45"/>
      <c r="Q320" s="45"/>
      <c r="R320" s="45"/>
      <c r="S320" s="46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4"/>
      <c r="O321" s="43"/>
      <c r="P321" s="45"/>
      <c r="Q321" s="45"/>
      <c r="R321" s="45"/>
      <c r="S321" s="46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4"/>
      <c r="O322" s="43"/>
      <c r="P322" s="45"/>
      <c r="Q322" s="45"/>
      <c r="R322" s="45"/>
      <c r="S322" s="46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4"/>
      <c r="O323" s="43"/>
      <c r="P323" s="45"/>
      <c r="Q323" s="45"/>
      <c r="R323" s="45"/>
      <c r="S323" s="46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4"/>
      <c r="O324" s="43"/>
      <c r="P324" s="45"/>
      <c r="Q324" s="45"/>
      <c r="R324" s="45"/>
      <c r="S324" s="46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4"/>
      <c r="O325" s="43"/>
      <c r="P325" s="45"/>
      <c r="Q325" s="45"/>
      <c r="R325" s="45"/>
      <c r="S325" s="46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4"/>
      <c r="O326" s="43"/>
      <c r="P326" s="45"/>
      <c r="Q326" s="45"/>
      <c r="R326" s="45"/>
      <c r="S326" s="46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4"/>
      <c r="O327" s="43"/>
      <c r="P327" s="45"/>
      <c r="Q327" s="45"/>
      <c r="R327" s="45"/>
      <c r="S327" s="46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4"/>
      <c r="O328" s="43"/>
      <c r="P328" s="45"/>
      <c r="Q328" s="45"/>
      <c r="R328" s="45"/>
      <c r="S328" s="46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4"/>
      <c r="O329" s="43"/>
      <c r="P329" s="45"/>
      <c r="Q329" s="45"/>
      <c r="R329" s="45"/>
      <c r="S329" s="46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4"/>
      <c r="O330" s="43"/>
      <c r="P330" s="45"/>
      <c r="Q330" s="45"/>
      <c r="R330" s="45"/>
      <c r="S330" s="46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4"/>
      <c r="O331" s="43"/>
      <c r="P331" s="45"/>
      <c r="Q331" s="45"/>
      <c r="R331" s="45"/>
      <c r="S331" s="46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4"/>
      <c r="O332" s="43"/>
      <c r="P332" s="45"/>
      <c r="Q332" s="45"/>
      <c r="R332" s="45"/>
      <c r="S332" s="46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4"/>
      <c r="O333" s="43"/>
      <c r="P333" s="45"/>
      <c r="Q333" s="45"/>
      <c r="R333" s="45"/>
      <c r="S333" s="46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4"/>
      <c r="O334" s="43"/>
      <c r="P334" s="45"/>
      <c r="Q334" s="45"/>
      <c r="R334" s="45"/>
      <c r="S334" s="46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4"/>
      <c r="O335" s="43"/>
      <c r="P335" s="45"/>
      <c r="Q335" s="45"/>
      <c r="R335" s="45"/>
      <c r="S335" s="46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4"/>
      <c r="O336" s="43"/>
      <c r="P336" s="45"/>
      <c r="Q336" s="45"/>
      <c r="R336" s="45"/>
      <c r="S336" s="46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4"/>
      <c r="O337" s="43"/>
      <c r="P337" s="45"/>
      <c r="Q337" s="45"/>
      <c r="R337" s="45"/>
      <c r="S337" s="46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4"/>
      <c r="O338" s="43"/>
      <c r="P338" s="45"/>
      <c r="Q338" s="45"/>
      <c r="R338" s="45"/>
      <c r="S338" s="46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4"/>
      <c r="O339" s="43"/>
      <c r="P339" s="45"/>
      <c r="Q339" s="45"/>
      <c r="R339" s="45"/>
      <c r="S339" s="46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4"/>
      <c r="O340" s="43"/>
      <c r="P340" s="45"/>
      <c r="Q340" s="45"/>
      <c r="R340" s="45"/>
      <c r="S340" s="46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4"/>
      <c r="O341" s="43"/>
      <c r="P341" s="45"/>
      <c r="Q341" s="45"/>
      <c r="R341" s="45"/>
      <c r="S341" s="46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4"/>
      <c r="O342" s="43"/>
      <c r="P342" s="45"/>
      <c r="Q342" s="45"/>
      <c r="R342" s="45"/>
      <c r="S342" s="46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4"/>
      <c r="O343" s="43"/>
      <c r="P343" s="45"/>
      <c r="Q343" s="45"/>
      <c r="R343" s="45"/>
      <c r="S343" s="46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4"/>
      <c r="O344" s="43"/>
      <c r="P344" s="45"/>
      <c r="Q344" s="45"/>
      <c r="R344" s="45"/>
      <c r="S344" s="46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4"/>
      <c r="O345" s="43"/>
      <c r="P345" s="45"/>
      <c r="Q345" s="45"/>
      <c r="R345" s="45"/>
      <c r="S345" s="46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4"/>
      <c r="O346" s="43"/>
      <c r="P346" s="45"/>
      <c r="Q346" s="45"/>
      <c r="R346" s="45"/>
      <c r="S346" s="46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4"/>
      <c r="O347" s="43"/>
      <c r="P347" s="45"/>
      <c r="Q347" s="45"/>
      <c r="R347" s="45"/>
      <c r="S347" s="46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4"/>
      <c r="O348" s="43"/>
      <c r="P348" s="45"/>
      <c r="Q348" s="45"/>
      <c r="R348" s="45"/>
      <c r="S348" s="46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4"/>
      <c r="O349" s="43"/>
      <c r="P349" s="45"/>
      <c r="Q349" s="45"/>
      <c r="R349" s="45"/>
      <c r="S349" s="46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4"/>
      <c r="O350" s="43"/>
      <c r="P350" s="45"/>
      <c r="Q350" s="45"/>
      <c r="R350" s="45"/>
      <c r="S350" s="46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4"/>
      <c r="O351" s="43"/>
      <c r="P351" s="45"/>
      <c r="Q351" s="45"/>
      <c r="R351" s="45"/>
      <c r="S351" s="46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4"/>
      <c r="O352" s="43"/>
      <c r="P352" s="45"/>
      <c r="Q352" s="45"/>
      <c r="R352" s="45"/>
      <c r="S352" s="46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4"/>
      <c r="O353" s="43"/>
      <c r="P353" s="45"/>
      <c r="Q353" s="45"/>
      <c r="R353" s="45"/>
      <c r="S353" s="46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4"/>
      <c r="O354" s="43"/>
      <c r="P354" s="45"/>
      <c r="Q354" s="45"/>
      <c r="R354" s="45"/>
      <c r="S354" s="46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4"/>
      <c r="O355" s="43"/>
      <c r="P355" s="45"/>
      <c r="Q355" s="45"/>
      <c r="R355" s="45"/>
      <c r="S355" s="46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4"/>
      <c r="O356" s="43"/>
      <c r="P356" s="45"/>
      <c r="Q356" s="45"/>
      <c r="R356" s="45"/>
      <c r="S356" s="46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4"/>
      <c r="O357" s="43"/>
      <c r="P357" s="45"/>
      <c r="Q357" s="45"/>
      <c r="R357" s="45"/>
      <c r="S357" s="46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4"/>
      <c r="O358" s="43"/>
      <c r="P358" s="45"/>
      <c r="Q358" s="45"/>
      <c r="R358" s="45"/>
      <c r="S358" s="46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4"/>
      <c r="O359" s="43"/>
      <c r="P359" s="45"/>
      <c r="Q359" s="45"/>
      <c r="R359" s="45"/>
      <c r="S359" s="46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4"/>
      <c r="O360" s="43"/>
      <c r="P360" s="45"/>
      <c r="Q360" s="45"/>
      <c r="R360" s="45"/>
      <c r="S360" s="46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4"/>
      <c r="O361" s="43"/>
      <c r="P361" s="45"/>
      <c r="Q361" s="45"/>
      <c r="R361" s="45"/>
      <c r="S361" s="46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4"/>
      <c r="O362" s="43"/>
      <c r="P362" s="45"/>
      <c r="Q362" s="45"/>
      <c r="R362" s="45"/>
      <c r="S362" s="46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4"/>
      <c r="O363" s="43"/>
      <c r="P363" s="45"/>
      <c r="Q363" s="45"/>
      <c r="R363" s="45"/>
      <c r="S363" s="46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4"/>
      <c r="O364" s="43"/>
      <c r="P364" s="45"/>
      <c r="Q364" s="45"/>
      <c r="R364" s="45"/>
      <c r="S364" s="46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4"/>
      <c r="O365" s="43"/>
      <c r="P365" s="45"/>
      <c r="Q365" s="45"/>
      <c r="R365" s="45"/>
      <c r="S365" s="46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4"/>
      <c r="O366" s="43"/>
      <c r="P366" s="45"/>
      <c r="Q366" s="45"/>
      <c r="R366" s="45"/>
      <c r="S366" s="46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4"/>
      <c r="O367" s="43"/>
      <c r="P367" s="45"/>
      <c r="Q367" s="45"/>
      <c r="R367" s="45"/>
      <c r="S367" s="46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4"/>
      <c r="O368" s="43"/>
      <c r="P368" s="45"/>
      <c r="Q368" s="45"/>
      <c r="R368" s="45"/>
      <c r="S368" s="46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4"/>
      <c r="O369" s="43"/>
      <c r="P369" s="45"/>
      <c r="Q369" s="45"/>
      <c r="R369" s="45"/>
      <c r="S369" s="46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4"/>
      <c r="O370" s="43"/>
      <c r="P370" s="45"/>
      <c r="Q370" s="45"/>
      <c r="R370" s="45"/>
      <c r="S370" s="46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4"/>
      <c r="O371" s="43"/>
      <c r="P371" s="45"/>
      <c r="Q371" s="45"/>
      <c r="R371" s="45"/>
      <c r="S371" s="46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4"/>
      <c r="O372" s="43"/>
      <c r="P372" s="45"/>
      <c r="Q372" s="45"/>
      <c r="R372" s="45"/>
      <c r="S372" s="46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4"/>
      <c r="O373" s="43"/>
      <c r="P373" s="45"/>
      <c r="Q373" s="45"/>
      <c r="R373" s="45"/>
      <c r="S373" s="46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4"/>
      <c r="O374" s="43"/>
      <c r="P374" s="45"/>
      <c r="Q374" s="45"/>
      <c r="R374" s="45"/>
      <c r="S374" s="46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4"/>
      <c r="O375" s="43"/>
      <c r="P375" s="45"/>
      <c r="Q375" s="45"/>
      <c r="R375" s="45"/>
      <c r="S375" s="46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4"/>
      <c r="O376" s="43"/>
      <c r="P376" s="45"/>
      <c r="Q376" s="45"/>
      <c r="R376" s="45"/>
      <c r="S376" s="46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4"/>
      <c r="O377" s="43"/>
      <c r="P377" s="45"/>
      <c r="Q377" s="45"/>
      <c r="R377" s="45"/>
      <c r="S377" s="46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4"/>
      <c r="O378" s="43"/>
      <c r="P378" s="45"/>
      <c r="Q378" s="45"/>
      <c r="R378" s="45"/>
      <c r="S378" s="46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4"/>
      <c r="O379" s="43"/>
      <c r="P379" s="45"/>
      <c r="Q379" s="45"/>
      <c r="R379" s="45"/>
      <c r="S379" s="46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4"/>
      <c r="O380" s="43"/>
      <c r="P380" s="45"/>
      <c r="Q380" s="45"/>
      <c r="R380" s="45"/>
      <c r="S380" s="46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4"/>
      <c r="O381" s="43"/>
      <c r="P381" s="45"/>
      <c r="Q381" s="45"/>
      <c r="R381" s="45"/>
      <c r="S381" s="46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4"/>
      <c r="O382" s="43"/>
      <c r="P382" s="45"/>
      <c r="Q382" s="45"/>
      <c r="R382" s="45"/>
      <c r="S382" s="46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4"/>
      <c r="O383" s="43"/>
      <c r="P383" s="45"/>
      <c r="Q383" s="45"/>
      <c r="R383" s="45"/>
      <c r="S383" s="46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4"/>
      <c r="O384" s="43"/>
      <c r="P384" s="45"/>
      <c r="Q384" s="45"/>
      <c r="R384" s="45"/>
      <c r="S384" s="46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4"/>
      <c r="O385" s="43"/>
      <c r="P385" s="45"/>
      <c r="Q385" s="45"/>
      <c r="R385" s="45"/>
      <c r="S385" s="46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4"/>
      <c r="O386" s="43"/>
      <c r="P386" s="45"/>
      <c r="Q386" s="45"/>
      <c r="R386" s="45"/>
      <c r="S386" s="46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4"/>
      <c r="O387" s="43"/>
      <c r="P387" s="45"/>
      <c r="Q387" s="45"/>
      <c r="R387" s="45"/>
      <c r="S387" s="46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4"/>
      <c r="O388" s="43"/>
      <c r="P388" s="45"/>
      <c r="Q388" s="45"/>
      <c r="R388" s="45"/>
      <c r="S388" s="46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4"/>
      <c r="O389" s="43"/>
      <c r="P389" s="45"/>
      <c r="Q389" s="45"/>
      <c r="R389" s="45"/>
      <c r="S389" s="46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4"/>
      <c r="O390" s="43"/>
      <c r="P390" s="45"/>
      <c r="Q390" s="45"/>
      <c r="R390" s="45"/>
      <c r="S390" s="46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4"/>
      <c r="O391" s="43"/>
      <c r="P391" s="45"/>
      <c r="Q391" s="45"/>
      <c r="R391" s="45"/>
      <c r="S391" s="46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4"/>
      <c r="O392" s="43"/>
      <c r="P392" s="45"/>
      <c r="Q392" s="45"/>
      <c r="R392" s="45"/>
      <c r="S392" s="46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4"/>
      <c r="O393" s="43"/>
      <c r="P393" s="45"/>
      <c r="Q393" s="45"/>
      <c r="R393" s="45"/>
      <c r="S393" s="46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4"/>
      <c r="O394" s="43"/>
      <c r="P394" s="45"/>
      <c r="Q394" s="45"/>
      <c r="R394" s="45"/>
      <c r="S394" s="46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4"/>
      <c r="O395" s="43"/>
      <c r="P395" s="45"/>
      <c r="Q395" s="45"/>
      <c r="R395" s="45"/>
      <c r="S395" s="46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4"/>
      <c r="O396" s="43"/>
      <c r="P396" s="45"/>
      <c r="Q396" s="45"/>
      <c r="R396" s="45"/>
      <c r="S396" s="46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4"/>
      <c r="O397" s="43"/>
      <c r="P397" s="45"/>
      <c r="Q397" s="45"/>
      <c r="R397" s="45"/>
      <c r="S397" s="46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4"/>
      <c r="O398" s="43"/>
      <c r="P398" s="45"/>
      <c r="Q398" s="45"/>
      <c r="R398" s="45"/>
      <c r="S398" s="46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4"/>
      <c r="O399" s="43"/>
      <c r="P399" s="45"/>
      <c r="Q399" s="45"/>
      <c r="R399" s="45"/>
      <c r="S399" s="46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4"/>
      <c r="O400" s="43"/>
      <c r="P400" s="45"/>
      <c r="Q400" s="45"/>
      <c r="R400" s="45"/>
      <c r="S400" s="46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4"/>
      <c r="O401" s="43"/>
      <c r="P401" s="45"/>
      <c r="Q401" s="45"/>
      <c r="R401" s="45"/>
      <c r="S401" s="46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4"/>
      <c r="O402" s="43"/>
      <c r="P402" s="45"/>
      <c r="Q402" s="45"/>
      <c r="R402" s="45"/>
      <c r="S402" s="46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4"/>
      <c r="O403" s="43"/>
      <c r="P403" s="45"/>
      <c r="Q403" s="45"/>
      <c r="R403" s="45"/>
      <c r="S403" s="46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4"/>
      <c r="O404" s="43"/>
      <c r="P404" s="45"/>
      <c r="Q404" s="45"/>
      <c r="R404" s="45"/>
      <c r="S404" s="46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4"/>
      <c r="O405" s="43"/>
      <c r="P405" s="45"/>
      <c r="Q405" s="45"/>
      <c r="R405" s="45"/>
      <c r="S405" s="46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4"/>
      <c r="O406" s="43"/>
      <c r="P406" s="45"/>
      <c r="Q406" s="45"/>
      <c r="R406" s="45"/>
      <c r="S406" s="46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4"/>
      <c r="O407" s="43"/>
      <c r="P407" s="45"/>
      <c r="Q407" s="45"/>
      <c r="R407" s="45"/>
      <c r="S407" s="46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4"/>
      <c r="O408" s="43"/>
      <c r="P408" s="45"/>
      <c r="Q408" s="45"/>
      <c r="R408" s="45"/>
      <c r="S408" s="46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4"/>
      <c r="O409" s="43"/>
      <c r="P409" s="45"/>
      <c r="Q409" s="45"/>
      <c r="R409" s="45"/>
      <c r="S409" s="46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4"/>
      <c r="O410" s="43"/>
      <c r="P410" s="45"/>
      <c r="Q410" s="45"/>
      <c r="R410" s="45"/>
      <c r="S410" s="46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4"/>
      <c r="O411" s="43"/>
      <c r="P411" s="45"/>
      <c r="Q411" s="45"/>
      <c r="R411" s="45"/>
      <c r="S411" s="46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4"/>
      <c r="O412" s="43"/>
      <c r="P412" s="45"/>
      <c r="Q412" s="45"/>
      <c r="R412" s="45"/>
      <c r="S412" s="46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4"/>
      <c r="O413" s="43"/>
      <c r="P413" s="45"/>
      <c r="Q413" s="45"/>
      <c r="R413" s="45"/>
      <c r="S413" s="46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4"/>
      <c r="O414" s="43"/>
      <c r="P414" s="45"/>
      <c r="Q414" s="45"/>
      <c r="R414" s="45"/>
      <c r="S414" s="46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4"/>
      <c r="O415" s="43"/>
      <c r="P415" s="45"/>
      <c r="Q415" s="45"/>
      <c r="R415" s="45"/>
      <c r="S415" s="46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4"/>
      <c r="O416" s="43"/>
      <c r="P416" s="45"/>
      <c r="Q416" s="45"/>
      <c r="R416" s="45"/>
      <c r="S416" s="46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4"/>
      <c r="O417" s="43"/>
      <c r="P417" s="45"/>
      <c r="Q417" s="45"/>
      <c r="R417" s="45"/>
      <c r="S417" s="46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4"/>
      <c r="O418" s="43"/>
      <c r="P418" s="45"/>
      <c r="Q418" s="45"/>
      <c r="R418" s="45"/>
      <c r="S418" s="46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4"/>
      <c r="O419" s="43"/>
      <c r="P419" s="45"/>
      <c r="Q419" s="45"/>
      <c r="R419" s="45"/>
      <c r="S419" s="46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4"/>
      <c r="O420" s="43"/>
      <c r="P420" s="45"/>
      <c r="Q420" s="45"/>
      <c r="R420" s="45"/>
      <c r="S420" s="46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4"/>
      <c r="O421" s="43"/>
      <c r="P421" s="45"/>
      <c r="Q421" s="45"/>
      <c r="R421" s="45"/>
      <c r="S421" s="46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4"/>
      <c r="O422" s="43"/>
      <c r="P422" s="45"/>
      <c r="Q422" s="45"/>
      <c r="R422" s="45"/>
      <c r="S422" s="46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4"/>
      <c r="O423" s="43"/>
      <c r="P423" s="45"/>
      <c r="Q423" s="45"/>
      <c r="R423" s="45"/>
      <c r="S423" s="46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4"/>
      <c r="O424" s="43"/>
      <c r="P424" s="45"/>
      <c r="Q424" s="45"/>
      <c r="R424" s="45"/>
      <c r="S424" s="46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4"/>
      <c r="O425" s="43"/>
      <c r="P425" s="45"/>
      <c r="Q425" s="45"/>
      <c r="R425" s="45"/>
      <c r="S425" s="46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4"/>
      <c r="O426" s="43"/>
      <c r="P426" s="45"/>
      <c r="Q426" s="45"/>
      <c r="R426" s="45"/>
      <c r="S426" s="46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4"/>
      <c r="O427" s="43"/>
      <c r="P427" s="45"/>
      <c r="Q427" s="45"/>
      <c r="R427" s="45"/>
      <c r="S427" s="46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4"/>
      <c r="O428" s="43"/>
      <c r="P428" s="45"/>
      <c r="Q428" s="45"/>
      <c r="R428" s="45"/>
      <c r="S428" s="46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4"/>
      <c r="O429" s="43"/>
      <c r="P429" s="45"/>
      <c r="Q429" s="45"/>
      <c r="R429" s="45"/>
      <c r="S429" s="46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4"/>
      <c r="O430" s="43"/>
      <c r="P430" s="45"/>
      <c r="Q430" s="45"/>
      <c r="R430" s="45"/>
      <c r="S430" s="46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4"/>
      <c r="O431" s="43"/>
      <c r="P431" s="45"/>
      <c r="Q431" s="45"/>
      <c r="R431" s="45"/>
      <c r="S431" s="46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4"/>
      <c r="O432" s="43"/>
      <c r="P432" s="45"/>
      <c r="Q432" s="45"/>
      <c r="R432" s="45"/>
      <c r="S432" s="46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4"/>
      <c r="O433" s="43"/>
      <c r="P433" s="45"/>
      <c r="Q433" s="45"/>
      <c r="R433" s="45"/>
      <c r="S433" s="46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4"/>
      <c r="O434" s="43"/>
      <c r="P434" s="45"/>
      <c r="Q434" s="45"/>
      <c r="R434" s="45"/>
      <c r="S434" s="46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4"/>
      <c r="O435" s="43"/>
      <c r="P435" s="45"/>
      <c r="Q435" s="45"/>
      <c r="R435" s="45"/>
      <c r="S435" s="46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4"/>
      <c r="O436" s="43"/>
      <c r="P436" s="45"/>
      <c r="Q436" s="45"/>
      <c r="R436" s="45"/>
      <c r="S436" s="46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4"/>
      <c r="O437" s="43"/>
      <c r="P437" s="45"/>
      <c r="Q437" s="45"/>
      <c r="R437" s="45"/>
      <c r="S437" s="46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4"/>
      <c r="O438" s="43"/>
      <c r="P438" s="45"/>
      <c r="Q438" s="45"/>
      <c r="R438" s="45"/>
      <c r="S438" s="46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4"/>
      <c r="O439" s="43"/>
      <c r="P439" s="45"/>
      <c r="Q439" s="45"/>
      <c r="R439" s="45"/>
      <c r="S439" s="46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4"/>
      <c r="O440" s="43"/>
      <c r="P440" s="45"/>
      <c r="Q440" s="45"/>
      <c r="R440" s="45"/>
      <c r="S440" s="46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4"/>
      <c r="O441" s="43"/>
      <c r="P441" s="45"/>
      <c r="Q441" s="45"/>
      <c r="R441" s="45"/>
      <c r="S441" s="46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4"/>
      <c r="O442" s="43"/>
      <c r="P442" s="45"/>
      <c r="Q442" s="45"/>
      <c r="R442" s="45"/>
      <c r="S442" s="46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4"/>
      <c r="O443" s="43"/>
      <c r="P443" s="45"/>
      <c r="Q443" s="45"/>
      <c r="R443" s="45"/>
      <c r="S443" s="46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4"/>
      <c r="O444" s="43"/>
      <c r="P444" s="45"/>
      <c r="Q444" s="45"/>
      <c r="R444" s="45"/>
      <c r="S444" s="46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4"/>
      <c r="O445" s="43"/>
      <c r="P445" s="45"/>
      <c r="Q445" s="45"/>
      <c r="R445" s="45"/>
      <c r="S445" s="46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4"/>
      <c r="O446" s="43"/>
      <c r="P446" s="45"/>
      <c r="Q446" s="45"/>
      <c r="R446" s="45"/>
      <c r="S446" s="46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4"/>
      <c r="O447" s="43"/>
      <c r="P447" s="45"/>
      <c r="Q447" s="45"/>
      <c r="R447" s="45"/>
      <c r="S447" s="46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4"/>
      <c r="O448" s="43"/>
      <c r="P448" s="45"/>
      <c r="Q448" s="45"/>
      <c r="R448" s="45"/>
      <c r="S448" s="46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4"/>
      <c r="O449" s="43"/>
      <c r="P449" s="45"/>
      <c r="Q449" s="45"/>
      <c r="R449" s="45"/>
      <c r="S449" s="46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4"/>
      <c r="O450" s="43"/>
      <c r="P450" s="45"/>
      <c r="Q450" s="45"/>
      <c r="R450" s="45"/>
      <c r="S450" s="46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4"/>
      <c r="O451" s="43"/>
      <c r="P451" s="45"/>
      <c r="Q451" s="45"/>
      <c r="R451" s="45"/>
      <c r="S451" s="46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4"/>
      <c r="O452" s="43"/>
      <c r="P452" s="45"/>
      <c r="Q452" s="45"/>
      <c r="R452" s="45"/>
      <c r="S452" s="46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4"/>
      <c r="O453" s="43"/>
      <c r="P453" s="45"/>
      <c r="Q453" s="45"/>
      <c r="R453" s="45"/>
      <c r="S453" s="46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4"/>
      <c r="O454" s="43"/>
      <c r="P454" s="45"/>
      <c r="Q454" s="45"/>
      <c r="R454" s="45"/>
      <c r="S454" s="46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4"/>
      <c r="O455" s="43"/>
      <c r="P455" s="45"/>
      <c r="Q455" s="45"/>
      <c r="R455" s="45"/>
      <c r="S455" s="46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4"/>
      <c r="O456" s="43"/>
      <c r="P456" s="45"/>
      <c r="Q456" s="45"/>
      <c r="R456" s="45"/>
      <c r="S456" s="46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4"/>
      <c r="O457" s="43"/>
      <c r="P457" s="45"/>
      <c r="Q457" s="45"/>
      <c r="R457" s="45"/>
      <c r="S457" s="46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4"/>
      <c r="O458" s="43"/>
      <c r="P458" s="45"/>
      <c r="Q458" s="45"/>
      <c r="R458" s="45"/>
      <c r="S458" s="46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4"/>
      <c r="O459" s="43"/>
      <c r="P459" s="45"/>
      <c r="Q459" s="45"/>
      <c r="R459" s="45"/>
      <c r="S459" s="46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4"/>
      <c r="O460" s="43"/>
      <c r="P460" s="45"/>
      <c r="Q460" s="45"/>
      <c r="R460" s="45"/>
      <c r="S460" s="46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4"/>
      <c r="O461" s="43"/>
      <c r="P461" s="45"/>
      <c r="Q461" s="45"/>
      <c r="R461" s="45"/>
      <c r="S461" s="46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4"/>
      <c r="O462" s="43"/>
      <c r="P462" s="45"/>
      <c r="Q462" s="45"/>
      <c r="R462" s="45"/>
      <c r="S462" s="46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4"/>
      <c r="O463" s="43"/>
      <c r="P463" s="45"/>
      <c r="Q463" s="45"/>
      <c r="R463" s="45"/>
      <c r="S463" s="46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4"/>
      <c r="O464" s="43"/>
      <c r="P464" s="45"/>
      <c r="Q464" s="45"/>
      <c r="R464" s="45"/>
      <c r="S464" s="46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4"/>
      <c r="O465" s="43"/>
      <c r="P465" s="45"/>
      <c r="Q465" s="45"/>
      <c r="R465" s="45"/>
      <c r="S465" s="46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4"/>
      <c r="O466" s="43"/>
      <c r="P466" s="45"/>
      <c r="Q466" s="45"/>
      <c r="R466" s="45"/>
      <c r="S466" s="46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4"/>
      <c r="O467" s="43"/>
      <c r="P467" s="45"/>
      <c r="Q467" s="45"/>
      <c r="R467" s="45"/>
      <c r="S467" s="46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4"/>
      <c r="O468" s="43"/>
      <c r="P468" s="45"/>
      <c r="Q468" s="45"/>
      <c r="R468" s="45"/>
      <c r="S468" s="46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4"/>
      <c r="O469" s="43"/>
      <c r="P469" s="45"/>
      <c r="Q469" s="45"/>
      <c r="R469" s="45"/>
      <c r="S469" s="46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4"/>
      <c r="O470" s="43"/>
      <c r="P470" s="45"/>
      <c r="Q470" s="45"/>
      <c r="R470" s="45"/>
      <c r="S470" s="46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4"/>
      <c r="O471" s="43"/>
      <c r="P471" s="45"/>
      <c r="Q471" s="45"/>
      <c r="R471" s="45"/>
      <c r="S471" s="46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4"/>
      <c r="O472" s="43"/>
      <c r="P472" s="45"/>
      <c r="Q472" s="45"/>
      <c r="R472" s="45"/>
      <c r="S472" s="46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4"/>
      <c r="O473" s="43"/>
      <c r="P473" s="45"/>
      <c r="Q473" s="45"/>
      <c r="R473" s="45"/>
      <c r="S473" s="46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4"/>
      <c r="O474" s="43"/>
      <c r="P474" s="45"/>
      <c r="Q474" s="45"/>
      <c r="R474" s="45"/>
      <c r="S474" s="46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4"/>
      <c r="O475" s="43"/>
      <c r="P475" s="45"/>
      <c r="Q475" s="45"/>
      <c r="R475" s="45"/>
      <c r="S475" s="46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4"/>
      <c r="O476" s="43"/>
      <c r="P476" s="45"/>
      <c r="Q476" s="45"/>
      <c r="R476" s="45"/>
      <c r="S476" s="46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4"/>
      <c r="O477" s="43"/>
      <c r="P477" s="45"/>
      <c r="Q477" s="45"/>
      <c r="R477" s="45"/>
      <c r="S477" s="46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4"/>
      <c r="O478" s="43"/>
      <c r="P478" s="45"/>
      <c r="Q478" s="45"/>
      <c r="R478" s="45"/>
      <c r="S478" s="46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4"/>
      <c r="O479" s="43"/>
      <c r="P479" s="45"/>
      <c r="Q479" s="45"/>
      <c r="R479" s="45"/>
      <c r="S479" s="46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4"/>
      <c r="O480" s="43"/>
      <c r="P480" s="45"/>
      <c r="Q480" s="45"/>
      <c r="R480" s="45"/>
      <c r="S480" s="46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4"/>
      <c r="O481" s="43"/>
      <c r="P481" s="45"/>
      <c r="Q481" s="45"/>
      <c r="R481" s="45"/>
      <c r="S481" s="46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4"/>
      <c r="O482" s="43"/>
      <c r="P482" s="45"/>
      <c r="Q482" s="45"/>
      <c r="R482" s="45"/>
      <c r="S482" s="46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4"/>
      <c r="O483" s="43"/>
      <c r="P483" s="45"/>
      <c r="Q483" s="45"/>
      <c r="R483" s="45"/>
      <c r="S483" s="46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4"/>
      <c r="O484" s="43"/>
      <c r="P484" s="45"/>
      <c r="Q484" s="45"/>
      <c r="R484" s="45"/>
      <c r="S484" s="46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4"/>
      <c r="O485" s="43"/>
      <c r="P485" s="45"/>
      <c r="Q485" s="45"/>
      <c r="R485" s="45"/>
      <c r="S485" s="46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4"/>
      <c r="O486" s="43"/>
      <c r="P486" s="45"/>
      <c r="Q486" s="45"/>
      <c r="R486" s="45"/>
      <c r="S486" s="46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4"/>
      <c r="O487" s="43"/>
      <c r="P487" s="45"/>
      <c r="Q487" s="45"/>
      <c r="R487" s="45"/>
      <c r="S487" s="46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4"/>
      <c r="O488" s="43"/>
      <c r="P488" s="45"/>
      <c r="Q488" s="45"/>
      <c r="R488" s="45"/>
      <c r="S488" s="46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4"/>
      <c r="O489" s="43"/>
      <c r="P489" s="45"/>
      <c r="Q489" s="45"/>
      <c r="R489" s="45"/>
      <c r="S489" s="46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4"/>
      <c r="O490" s="43"/>
      <c r="P490" s="45"/>
      <c r="Q490" s="45"/>
      <c r="R490" s="45"/>
      <c r="S490" s="46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4"/>
      <c r="O491" s="43"/>
      <c r="P491" s="45"/>
      <c r="Q491" s="45"/>
      <c r="R491" s="45"/>
      <c r="S491" s="46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4"/>
      <c r="O492" s="43"/>
      <c r="P492" s="45"/>
      <c r="Q492" s="45"/>
      <c r="R492" s="45"/>
      <c r="S492" s="46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4"/>
      <c r="O493" s="43"/>
      <c r="P493" s="45"/>
      <c r="Q493" s="45"/>
      <c r="R493" s="45"/>
      <c r="S493" s="46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4"/>
      <c r="O494" s="43"/>
      <c r="P494" s="45"/>
      <c r="Q494" s="45"/>
      <c r="R494" s="45"/>
      <c r="S494" s="46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4"/>
      <c r="O495" s="43"/>
      <c r="P495" s="45"/>
      <c r="Q495" s="45"/>
      <c r="R495" s="45"/>
      <c r="S495" s="46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4"/>
      <c r="O496" s="43"/>
      <c r="P496" s="45"/>
      <c r="Q496" s="45"/>
      <c r="R496" s="45"/>
      <c r="S496" s="46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4"/>
      <c r="O497" s="43"/>
      <c r="P497" s="45"/>
      <c r="Q497" s="45"/>
      <c r="R497" s="45"/>
      <c r="S497" s="46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4"/>
      <c r="O498" s="43"/>
      <c r="P498" s="45"/>
      <c r="Q498" s="45"/>
      <c r="R498" s="45"/>
      <c r="S498" s="46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4"/>
      <c r="O499" s="43"/>
      <c r="P499" s="45"/>
      <c r="Q499" s="45"/>
      <c r="R499" s="45"/>
      <c r="S499" s="46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4"/>
      <c r="O500" s="43"/>
      <c r="P500" s="45"/>
      <c r="Q500" s="45"/>
      <c r="R500" s="45"/>
      <c r="S500" s="46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4"/>
      <c r="O501" s="43"/>
      <c r="P501" s="45"/>
      <c r="Q501" s="45"/>
      <c r="R501" s="45"/>
      <c r="S501" s="46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4"/>
      <c r="O502" s="43"/>
      <c r="P502" s="45"/>
      <c r="Q502" s="45"/>
      <c r="R502" s="45"/>
      <c r="S502" s="46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4"/>
      <c r="O503" s="43"/>
      <c r="P503" s="45"/>
      <c r="Q503" s="45"/>
      <c r="R503" s="45"/>
      <c r="S503" s="46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4"/>
      <c r="O504" s="43"/>
      <c r="P504" s="45"/>
      <c r="Q504" s="45"/>
      <c r="R504" s="45"/>
      <c r="S504" s="46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4"/>
      <c r="O505" s="43"/>
      <c r="P505" s="45"/>
      <c r="Q505" s="45"/>
      <c r="R505" s="45"/>
      <c r="S505" s="46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4"/>
      <c r="O506" s="43"/>
      <c r="P506" s="45"/>
      <c r="Q506" s="45"/>
      <c r="R506" s="45"/>
      <c r="S506" s="46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4"/>
      <c r="O507" s="43"/>
      <c r="P507" s="45"/>
      <c r="Q507" s="45"/>
      <c r="R507" s="45"/>
      <c r="S507" s="46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4"/>
      <c r="O508" s="43"/>
      <c r="P508" s="45"/>
      <c r="Q508" s="45"/>
      <c r="R508" s="45"/>
      <c r="S508" s="46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4"/>
      <c r="O509" s="43"/>
      <c r="P509" s="45"/>
      <c r="Q509" s="45"/>
      <c r="R509" s="45"/>
      <c r="S509" s="46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4"/>
      <c r="O510" s="43"/>
      <c r="P510" s="45"/>
      <c r="Q510" s="45"/>
      <c r="R510" s="45"/>
      <c r="S510" s="46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4"/>
      <c r="O511" s="43"/>
      <c r="P511" s="45"/>
      <c r="Q511" s="45"/>
      <c r="R511" s="45"/>
      <c r="S511" s="46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4"/>
      <c r="O512" s="43"/>
      <c r="P512" s="45"/>
      <c r="Q512" s="45"/>
      <c r="R512" s="45"/>
      <c r="S512" s="46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4"/>
      <c r="O513" s="43"/>
      <c r="P513" s="45"/>
      <c r="Q513" s="45"/>
      <c r="R513" s="45"/>
      <c r="S513" s="46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4"/>
      <c r="O514" s="43"/>
      <c r="P514" s="45"/>
      <c r="Q514" s="45"/>
      <c r="R514" s="45"/>
      <c r="S514" s="46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4"/>
      <c r="O515" s="43"/>
      <c r="P515" s="45"/>
      <c r="Q515" s="45"/>
      <c r="R515" s="45"/>
      <c r="S515" s="46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4"/>
      <c r="O516" s="43"/>
      <c r="P516" s="45"/>
      <c r="Q516" s="45"/>
      <c r="R516" s="45"/>
      <c r="S516" s="46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4"/>
      <c r="O517" s="43"/>
      <c r="P517" s="45"/>
      <c r="Q517" s="45"/>
      <c r="R517" s="45"/>
      <c r="S517" s="46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4"/>
      <c r="O518" s="43"/>
      <c r="P518" s="45"/>
      <c r="Q518" s="45"/>
      <c r="R518" s="45"/>
      <c r="S518" s="46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4"/>
      <c r="O519" s="43"/>
      <c r="P519" s="45"/>
      <c r="Q519" s="45"/>
      <c r="R519" s="45"/>
      <c r="S519" s="46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4"/>
      <c r="O520" s="43"/>
      <c r="P520" s="45"/>
      <c r="Q520" s="45"/>
      <c r="R520" s="45"/>
      <c r="S520" s="46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4"/>
      <c r="O521" s="43"/>
      <c r="P521" s="45"/>
      <c r="Q521" s="45"/>
      <c r="R521" s="45"/>
      <c r="S521" s="46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4"/>
      <c r="O522" s="43"/>
      <c r="P522" s="45"/>
      <c r="Q522" s="45"/>
      <c r="R522" s="45"/>
      <c r="S522" s="46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4"/>
      <c r="O523" s="43"/>
      <c r="P523" s="45"/>
      <c r="Q523" s="45"/>
      <c r="R523" s="45"/>
      <c r="S523" s="46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4"/>
      <c r="O524" s="43"/>
      <c r="P524" s="45"/>
      <c r="Q524" s="45"/>
      <c r="R524" s="45"/>
      <c r="S524" s="46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4"/>
      <c r="O525" s="43"/>
      <c r="P525" s="45"/>
      <c r="Q525" s="45"/>
      <c r="R525" s="45"/>
      <c r="S525" s="46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4"/>
      <c r="O526" s="43"/>
      <c r="P526" s="45"/>
      <c r="Q526" s="45"/>
      <c r="R526" s="45"/>
      <c r="S526" s="46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4"/>
      <c r="O527" s="43"/>
      <c r="P527" s="45"/>
      <c r="Q527" s="45"/>
      <c r="R527" s="45"/>
      <c r="S527" s="46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4"/>
      <c r="O528" s="43"/>
      <c r="P528" s="45"/>
      <c r="Q528" s="45"/>
      <c r="R528" s="45"/>
      <c r="S528" s="46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4"/>
      <c r="O529" s="43"/>
      <c r="P529" s="45"/>
      <c r="Q529" s="45"/>
      <c r="R529" s="45"/>
      <c r="S529" s="46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4"/>
      <c r="O530" s="43"/>
      <c r="P530" s="45"/>
      <c r="Q530" s="45"/>
      <c r="R530" s="45"/>
      <c r="S530" s="46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4"/>
      <c r="O531" s="43"/>
      <c r="P531" s="45"/>
      <c r="Q531" s="45"/>
      <c r="R531" s="45"/>
      <c r="S531" s="46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4"/>
      <c r="O532" s="43"/>
      <c r="P532" s="45"/>
      <c r="Q532" s="45"/>
      <c r="R532" s="45"/>
      <c r="S532" s="46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4"/>
      <c r="O533" s="43"/>
      <c r="P533" s="45"/>
      <c r="Q533" s="45"/>
      <c r="R533" s="45"/>
      <c r="S533" s="46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4"/>
      <c r="O534" s="43"/>
      <c r="P534" s="45"/>
      <c r="Q534" s="45"/>
      <c r="R534" s="45"/>
      <c r="S534" s="46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4"/>
      <c r="O535" s="43"/>
      <c r="P535" s="45"/>
      <c r="Q535" s="45"/>
      <c r="R535" s="45"/>
      <c r="S535" s="46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4"/>
      <c r="O536" s="43"/>
      <c r="P536" s="45"/>
      <c r="Q536" s="45"/>
      <c r="R536" s="45"/>
      <c r="S536" s="46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4"/>
      <c r="O537" s="43"/>
      <c r="P537" s="45"/>
      <c r="Q537" s="45"/>
      <c r="R537" s="45"/>
      <c r="S537" s="46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4"/>
      <c r="O538" s="43"/>
      <c r="P538" s="45"/>
      <c r="Q538" s="45"/>
      <c r="R538" s="45"/>
      <c r="S538" s="46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4"/>
      <c r="O539" s="43"/>
      <c r="P539" s="45"/>
      <c r="Q539" s="45"/>
      <c r="R539" s="45"/>
      <c r="S539" s="46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4"/>
      <c r="O540" s="43"/>
      <c r="P540" s="45"/>
      <c r="Q540" s="45"/>
      <c r="R540" s="45"/>
      <c r="S540" s="46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4"/>
      <c r="O541" s="43"/>
      <c r="P541" s="45"/>
      <c r="Q541" s="45"/>
      <c r="R541" s="45"/>
      <c r="S541" s="46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4"/>
      <c r="O542" s="43"/>
      <c r="P542" s="45"/>
      <c r="Q542" s="45"/>
      <c r="R542" s="45"/>
      <c r="S542" s="46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4"/>
      <c r="O543" s="43"/>
      <c r="P543" s="45"/>
      <c r="Q543" s="45"/>
      <c r="R543" s="45"/>
      <c r="S543" s="46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4"/>
      <c r="O544" s="43"/>
      <c r="P544" s="45"/>
      <c r="Q544" s="45"/>
      <c r="R544" s="45"/>
      <c r="S544" s="46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4"/>
      <c r="O545" s="43"/>
      <c r="P545" s="45"/>
      <c r="Q545" s="45"/>
      <c r="R545" s="45"/>
      <c r="S545" s="46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4"/>
      <c r="O546" s="43"/>
      <c r="P546" s="45"/>
      <c r="Q546" s="45"/>
      <c r="R546" s="45"/>
      <c r="S546" s="46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4"/>
      <c r="O547" s="43"/>
      <c r="P547" s="45"/>
      <c r="Q547" s="45"/>
      <c r="R547" s="45"/>
      <c r="S547" s="46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4"/>
      <c r="O548" s="43"/>
      <c r="P548" s="45"/>
      <c r="Q548" s="45"/>
      <c r="R548" s="45"/>
      <c r="S548" s="46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4"/>
      <c r="O549" s="43"/>
      <c r="P549" s="45"/>
      <c r="Q549" s="45"/>
      <c r="R549" s="45"/>
      <c r="S549" s="46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4"/>
      <c r="O550" s="43"/>
      <c r="P550" s="45"/>
      <c r="Q550" s="45"/>
      <c r="R550" s="45"/>
      <c r="S550" s="46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4"/>
      <c r="O551" s="43"/>
      <c r="P551" s="45"/>
      <c r="Q551" s="45"/>
      <c r="R551" s="45"/>
      <c r="S551" s="46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4"/>
      <c r="O552" s="43"/>
      <c r="P552" s="45"/>
      <c r="Q552" s="45"/>
      <c r="R552" s="45"/>
      <c r="S552" s="46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4"/>
      <c r="O553" s="43"/>
      <c r="P553" s="45"/>
      <c r="Q553" s="45"/>
      <c r="R553" s="45"/>
      <c r="S553" s="46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4"/>
      <c r="O554" s="43"/>
      <c r="P554" s="45"/>
      <c r="Q554" s="45"/>
      <c r="R554" s="45"/>
      <c r="S554" s="46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4"/>
      <c r="O555" s="43"/>
      <c r="P555" s="45"/>
      <c r="Q555" s="45"/>
      <c r="R555" s="45"/>
      <c r="S555" s="46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4"/>
      <c r="O556" s="43"/>
      <c r="P556" s="45"/>
      <c r="Q556" s="45"/>
      <c r="R556" s="45"/>
      <c r="S556" s="46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4"/>
      <c r="O557" s="43"/>
      <c r="P557" s="45"/>
      <c r="Q557" s="45"/>
      <c r="R557" s="45"/>
      <c r="S557" s="46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4"/>
      <c r="O558" s="43"/>
      <c r="P558" s="45"/>
      <c r="Q558" s="45"/>
      <c r="R558" s="45"/>
      <c r="S558" s="46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4"/>
      <c r="O559" s="43"/>
      <c r="P559" s="45"/>
      <c r="Q559" s="45"/>
      <c r="R559" s="45"/>
      <c r="S559" s="46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4"/>
      <c r="O560" s="43"/>
      <c r="P560" s="45"/>
      <c r="Q560" s="45"/>
      <c r="R560" s="45"/>
      <c r="S560" s="46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4"/>
      <c r="O561" s="43"/>
      <c r="P561" s="45"/>
      <c r="Q561" s="45"/>
      <c r="R561" s="45"/>
      <c r="S561" s="46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4"/>
      <c r="O562" s="43"/>
      <c r="P562" s="45"/>
      <c r="Q562" s="45"/>
      <c r="R562" s="45"/>
      <c r="S562" s="46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4"/>
      <c r="O563" s="43"/>
      <c r="P563" s="45"/>
      <c r="Q563" s="45"/>
      <c r="R563" s="45"/>
      <c r="S563" s="46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4"/>
      <c r="O564" s="43"/>
      <c r="P564" s="45"/>
      <c r="Q564" s="45"/>
      <c r="R564" s="45"/>
      <c r="S564" s="46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4"/>
      <c r="O565" s="43"/>
      <c r="P565" s="45"/>
      <c r="Q565" s="45"/>
      <c r="R565" s="45"/>
      <c r="S565" s="46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4"/>
      <c r="O566" s="43"/>
      <c r="P566" s="45"/>
      <c r="Q566" s="45"/>
      <c r="R566" s="45"/>
      <c r="S566" s="46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4"/>
      <c r="O567" s="43"/>
      <c r="P567" s="45"/>
      <c r="Q567" s="45"/>
      <c r="R567" s="45"/>
      <c r="S567" s="46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4"/>
      <c r="O568" s="43"/>
      <c r="P568" s="45"/>
      <c r="Q568" s="45"/>
      <c r="R568" s="45"/>
      <c r="S568" s="46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4"/>
      <c r="O569" s="43"/>
      <c r="P569" s="45"/>
      <c r="Q569" s="45"/>
      <c r="R569" s="45"/>
      <c r="S569" s="46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4"/>
      <c r="O570" s="43"/>
      <c r="P570" s="45"/>
      <c r="Q570" s="45"/>
      <c r="R570" s="45"/>
      <c r="S570" s="46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4"/>
      <c r="O571" s="43"/>
      <c r="P571" s="45"/>
      <c r="Q571" s="45"/>
      <c r="R571" s="45"/>
      <c r="S571" s="46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4"/>
      <c r="O572" s="43"/>
      <c r="P572" s="45"/>
      <c r="Q572" s="45"/>
      <c r="R572" s="45"/>
      <c r="S572" s="46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4"/>
      <c r="O573" s="43"/>
      <c r="P573" s="45"/>
      <c r="Q573" s="45"/>
      <c r="R573" s="45"/>
      <c r="S573" s="46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4"/>
      <c r="O574" s="43"/>
      <c r="P574" s="45"/>
      <c r="Q574" s="45"/>
      <c r="R574" s="45"/>
      <c r="S574" s="46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4"/>
      <c r="O575" s="43"/>
      <c r="P575" s="45"/>
      <c r="Q575" s="45"/>
      <c r="R575" s="45"/>
      <c r="S575" s="46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4"/>
      <c r="O576" s="43"/>
      <c r="P576" s="45"/>
      <c r="Q576" s="45"/>
      <c r="R576" s="45"/>
      <c r="S576" s="46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4"/>
      <c r="O577" s="43"/>
      <c r="P577" s="45"/>
      <c r="Q577" s="45"/>
      <c r="R577" s="45"/>
      <c r="S577" s="46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4"/>
      <c r="O578" s="43"/>
      <c r="P578" s="45"/>
      <c r="Q578" s="45"/>
      <c r="R578" s="45"/>
      <c r="S578" s="46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4"/>
      <c r="O579" s="43"/>
      <c r="P579" s="45"/>
      <c r="Q579" s="45"/>
      <c r="R579" s="45"/>
      <c r="S579" s="46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4"/>
      <c r="O580" s="43"/>
      <c r="P580" s="45"/>
      <c r="Q580" s="45"/>
      <c r="R580" s="45"/>
      <c r="S580" s="46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4"/>
      <c r="O581" s="43"/>
      <c r="P581" s="45"/>
      <c r="Q581" s="45"/>
      <c r="R581" s="45"/>
      <c r="S581" s="46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4"/>
      <c r="O582" s="43"/>
      <c r="P582" s="45"/>
      <c r="Q582" s="45"/>
      <c r="R582" s="45"/>
      <c r="S582" s="46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4"/>
      <c r="O583" s="43"/>
      <c r="P583" s="45"/>
      <c r="Q583" s="45"/>
      <c r="R583" s="45"/>
      <c r="S583" s="46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4"/>
      <c r="O584" s="43"/>
      <c r="P584" s="45"/>
      <c r="Q584" s="45"/>
      <c r="R584" s="45"/>
      <c r="S584" s="46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4"/>
      <c r="O585" s="43"/>
      <c r="P585" s="45"/>
      <c r="Q585" s="45"/>
      <c r="R585" s="45"/>
      <c r="S585" s="46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4"/>
      <c r="O586" s="43"/>
      <c r="P586" s="45"/>
      <c r="Q586" s="45"/>
      <c r="R586" s="45"/>
      <c r="S586" s="46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4"/>
      <c r="O587" s="43"/>
      <c r="P587" s="45"/>
      <c r="Q587" s="45"/>
      <c r="R587" s="45"/>
      <c r="S587" s="46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4"/>
      <c r="O588" s="43"/>
      <c r="P588" s="45"/>
      <c r="Q588" s="45"/>
      <c r="R588" s="45"/>
      <c r="S588" s="46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4"/>
      <c r="O589" s="43"/>
      <c r="P589" s="45"/>
      <c r="Q589" s="45"/>
      <c r="R589" s="45"/>
      <c r="S589" s="46"/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43"/>
    <col customWidth="1" min="2" max="3" width="12.29"/>
    <col customWidth="1" min="4" max="4" width="7.86"/>
    <col customWidth="1" min="5" max="5" width="23.14"/>
    <col customWidth="1" min="6" max="6" width="9.14"/>
    <col customWidth="1" min="7" max="7" width="61.14"/>
    <col customWidth="1" min="8" max="8" width="16.86"/>
    <col customWidth="1" hidden="1" min="9" max="9" width="5.71"/>
    <col customWidth="1" hidden="1" min="10" max="10" width="12.0"/>
    <col customWidth="1" hidden="1" min="11" max="11" width="5.71"/>
    <col customWidth="1" hidden="1" min="12" max="12" width="32.71"/>
    <col customWidth="1" hidden="1" min="13" max="13" width="17.14"/>
    <col customWidth="1" min="14" max="14" width="17.14"/>
    <col customWidth="1" hidden="1" min="15" max="15" width="17.14"/>
    <col customWidth="1" hidden="1" min="16" max="17" width="5.71"/>
    <col customWidth="1" min="18" max="18" width="7.43"/>
    <col customWidth="1" min="19" max="19" width="12.0"/>
    <col customWidth="1" min="20" max="22" width="17.14"/>
  </cols>
  <sheetData>
    <row r="1">
      <c r="A1" s="33" t="s">
        <v>715</v>
      </c>
      <c r="T1" s="33"/>
      <c r="U1" s="33"/>
      <c r="V1" s="33"/>
    </row>
    <row r="2">
      <c r="A2" s="34" t="str">
        <f>IFERROR(__xludf.DUMMYFUNCTION("QUERY('全ウイスキー'!A:S, ""SELECT * WHERE R contains '0'"")"),"国")</f>
        <v>国</v>
      </c>
      <c r="B2" s="34" t="str">
        <f>IFERROR(__xludf.DUMMYFUNCTION("""COMPUTED_VALUE"""),"製造会社")</f>
        <v>製造会社</v>
      </c>
      <c r="C2" s="34" t="str">
        <f>IFERROR(__xludf.DUMMYFUNCTION("""COMPUTED_VALUE"""),"販売会社")</f>
        <v>販売会社</v>
      </c>
      <c r="D2" s="34" t="str">
        <f>IFERROR(__xludf.DUMMYFUNCTION("""COMPUTED_VALUE"""),"蒸溜所")</f>
        <v>蒸溜所</v>
      </c>
      <c r="E2" s="34" t="str">
        <f>IFERROR(__xludf.DUMMYFUNCTION("""COMPUTED_VALUE"""),"タイプ")</f>
        <v>タイプ</v>
      </c>
      <c r="F2" s="34" t="str">
        <f>IFERROR(__xludf.DUMMYFUNCTION("""COMPUTED_VALUE"""),"樽番号")</f>
        <v>樽番号</v>
      </c>
      <c r="G2" s="34" t="str">
        <f>IFERROR(__xludf.DUMMYFUNCTION("""COMPUTED_VALUE"""),"商品名")</f>
        <v>商品名</v>
      </c>
      <c r="H2" s="34" t="str">
        <f>IFERROR(__xludf.DUMMYFUNCTION("""COMPUTED_VALUE"""),"備考")</f>
        <v>備考</v>
      </c>
      <c r="I2" s="34" t="str">
        <f>IFERROR(__xludf.DUMMYFUNCTION("""COMPUTED_VALUE"""),"熟成地")</f>
        <v>熟成地</v>
      </c>
      <c r="J2" s="34" t="str">
        <f>IFERROR(__xludf.DUMMYFUNCTION("""COMPUTED_VALUE"""),"樽種")</f>
        <v>樽種</v>
      </c>
      <c r="K2" s="34" t="str">
        <f>IFERROR(__xludf.DUMMYFUNCTION("""COMPUTED_VALUE"""),"熟成期間")</f>
        <v>熟成期間</v>
      </c>
      <c r="L2" s="34" t="str">
        <f>IFERROR(__xludf.DUMMYFUNCTION("""COMPUTED_VALUE"""),"現行")</f>
        <v>現行</v>
      </c>
      <c r="M2" s="34" t="str">
        <f>IFERROR(__xludf.DUMMYFUNCTION("""COMPUTED_VALUE"""),"ピート感")</f>
        <v>ピート感</v>
      </c>
      <c r="N2" s="34" t="str">
        <f>IFERROR(__xludf.DUMMYFUNCTION("""COMPUTED_VALUE"""),"度数")</f>
        <v>度数</v>
      </c>
      <c r="O2" s="34" t="str">
        <f>IFERROR(__xludf.DUMMYFUNCTION("""COMPUTED_VALUE"""),"本数")</f>
        <v>本数</v>
      </c>
      <c r="P2" s="34" t="str">
        <f>IFERROR(__xludf.DUMMYFUNCTION("""COMPUTED_VALUE"""),"30ml")</f>
        <v>30ml</v>
      </c>
      <c r="Q2" s="34" t="str">
        <f>IFERROR(__xludf.DUMMYFUNCTION("""COMPUTED_VALUE"""),"15ml")</f>
        <v>15ml</v>
      </c>
      <c r="R2" s="34" t="str">
        <f>IFERROR(__xludf.DUMMYFUNCTION("""COMPUTED_VALUE"""),"10ml")</f>
        <v>10ml</v>
      </c>
      <c r="S2" s="34" t="str">
        <f>IFERROR(__xludf.DUMMYFUNCTION("""COMPUTED_VALUE"""),"ブログ")</f>
        <v>ブログ</v>
      </c>
      <c r="T2" s="34"/>
      <c r="U2" s="34"/>
      <c r="V2" s="34"/>
    </row>
    <row r="3">
      <c r="A3" s="35" t="str">
        <f>IFERROR(__xludf.DUMMYFUNCTION("""COMPUTED_VALUE"""),"JP")</f>
        <v>JP</v>
      </c>
      <c r="B3" s="35" t="str">
        <f>IFERROR(__xludf.DUMMYFUNCTION("""COMPUTED_VALUE"""),"サントリー")</f>
        <v>サントリー</v>
      </c>
      <c r="C3" s="35" t="str">
        <f>IFERROR(__xludf.DUMMYFUNCTION("""COMPUTED_VALUE"""),"サントリー")</f>
        <v>サントリー</v>
      </c>
      <c r="D3" s="35" t="str">
        <f>IFERROR(__xludf.DUMMYFUNCTION("""COMPUTED_VALUE"""),"山崎")</f>
        <v>山崎</v>
      </c>
      <c r="E3" s="35" t="str">
        <f>IFERROR(__xludf.DUMMYFUNCTION("""COMPUTED_VALUE"""),"シングルモルト")</f>
        <v>シングルモルト</v>
      </c>
      <c r="F3" s="35"/>
      <c r="G3" s="35" t="str">
        <f>IFERROR(__xludf.DUMMYFUNCTION("""COMPUTED_VALUE"""),"山崎 18年")</f>
        <v>山崎 18年</v>
      </c>
      <c r="H3" s="35"/>
      <c r="I3" s="35"/>
      <c r="J3" s="35"/>
      <c r="K3" s="35"/>
      <c r="L3" s="35" t="str">
        <f>IFERROR(__xludf.DUMMYFUNCTION("""COMPUTED_VALUE"""),"✓")</f>
        <v>✓</v>
      </c>
      <c r="M3" s="35"/>
      <c r="N3" s="36">
        <f>IFERROR(__xludf.DUMMYFUNCTION("""COMPUTED_VALUE"""),0.43)</f>
        <v>0.43</v>
      </c>
      <c r="O3" s="35"/>
      <c r="P3" s="37"/>
      <c r="Q3" s="37"/>
      <c r="R3" s="37">
        <f>IFERROR(__xludf.DUMMYFUNCTION("""COMPUTED_VALUE"""),2200.0)</f>
        <v>2200</v>
      </c>
      <c r="S3" s="38">
        <f>IFERROR(__xludf.DUMMYFUNCTION("""COMPUTED_VALUE"""),45069.0)</f>
        <v>45069</v>
      </c>
      <c r="T3" s="35"/>
      <c r="U3" s="35"/>
      <c r="V3" s="35"/>
    </row>
    <row r="4">
      <c r="A4" s="35" t="str">
        <f>IFERROR(__xludf.DUMMYFUNCTION("""COMPUTED_VALUE"""),"JP")</f>
        <v>JP</v>
      </c>
      <c r="B4" s="35" t="str">
        <f>IFERROR(__xludf.DUMMYFUNCTION("""COMPUTED_VALUE"""),"サントリー")</f>
        <v>サントリー</v>
      </c>
      <c r="C4" s="35" t="str">
        <f>IFERROR(__xludf.DUMMYFUNCTION("""COMPUTED_VALUE"""),"サントリー")</f>
        <v>サントリー</v>
      </c>
      <c r="D4" s="35" t="str">
        <f>IFERROR(__xludf.DUMMYFUNCTION("""COMPUTED_VALUE"""),"白州")</f>
        <v>白州</v>
      </c>
      <c r="E4" s="35" t="str">
        <f>IFERROR(__xludf.DUMMYFUNCTION("""COMPUTED_VALUE"""),"シングルモルト")</f>
        <v>シングルモルト</v>
      </c>
      <c r="F4" s="35"/>
      <c r="G4" s="35" t="str">
        <f>IFERROR(__xludf.DUMMYFUNCTION("""COMPUTED_VALUE"""),"白州 18年")</f>
        <v>白州 18年</v>
      </c>
      <c r="H4" s="35"/>
      <c r="I4" s="35"/>
      <c r="J4" s="35"/>
      <c r="K4" s="35"/>
      <c r="L4" s="35" t="str">
        <f>IFERROR(__xludf.DUMMYFUNCTION("""COMPUTED_VALUE"""),"✓")</f>
        <v>✓</v>
      </c>
      <c r="M4" s="35"/>
      <c r="N4" s="36">
        <f>IFERROR(__xludf.DUMMYFUNCTION("""COMPUTED_VALUE"""),0.43)</f>
        <v>0.43</v>
      </c>
      <c r="O4" s="35"/>
      <c r="P4" s="37"/>
      <c r="Q4" s="37"/>
      <c r="R4" s="37">
        <f>IFERROR(__xludf.DUMMYFUNCTION("""COMPUTED_VALUE"""),2200.0)</f>
        <v>2200</v>
      </c>
      <c r="S4" s="38">
        <f>IFERROR(__xludf.DUMMYFUNCTION("""COMPUTED_VALUE"""),45080.0)</f>
        <v>45080</v>
      </c>
      <c r="T4" s="35"/>
      <c r="U4" s="35"/>
      <c r="V4" s="35"/>
    </row>
    <row r="5">
      <c r="A5" s="35" t="str">
        <f>IFERROR(__xludf.DUMMYFUNCTION("""COMPUTED_VALUE"""),"JP")</f>
        <v>JP</v>
      </c>
      <c r="B5" s="35" t="str">
        <f>IFERROR(__xludf.DUMMYFUNCTION("""COMPUTED_VALUE"""),"サントリー")</f>
        <v>サントリー</v>
      </c>
      <c r="C5" s="35" t="str">
        <f>IFERROR(__xludf.DUMMYFUNCTION("""COMPUTED_VALUE"""),"サントリー")</f>
        <v>サントリー</v>
      </c>
      <c r="D5" s="35"/>
      <c r="E5" s="35" t="str">
        <f>IFERROR(__xludf.DUMMYFUNCTION("""COMPUTED_VALUE"""),"ブレンデッド")</f>
        <v>ブレンデッド</v>
      </c>
      <c r="F5" s="35"/>
      <c r="G5" s="35" t="str">
        <f>IFERROR(__xludf.DUMMYFUNCTION("""COMPUTED_VALUE"""),"響 21年")</f>
        <v>響 21年</v>
      </c>
      <c r="H5" s="35"/>
      <c r="I5" s="35"/>
      <c r="J5" s="35"/>
      <c r="K5" s="35"/>
      <c r="L5" s="35" t="str">
        <f>IFERROR(__xludf.DUMMYFUNCTION("""COMPUTED_VALUE"""),"✓")</f>
        <v>✓</v>
      </c>
      <c r="M5" s="35"/>
      <c r="N5" s="36">
        <f>IFERROR(__xludf.DUMMYFUNCTION("""COMPUTED_VALUE"""),0.43)</f>
        <v>0.43</v>
      </c>
      <c r="O5" s="35"/>
      <c r="P5" s="37"/>
      <c r="Q5" s="37"/>
      <c r="R5" s="37">
        <f>IFERROR(__xludf.DUMMYFUNCTION("""COMPUTED_VALUE"""),2200.0)</f>
        <v>2200</v>
      </c>
      <c r="S5" s="38">
        <f>IFERROR(__xludf.DUMMYFUNCTION("""COMPUTED_VALUE"""),45129.0)</f>
        <v>45129</v>
      </c>
      <c r="T5" s="35"/>
      <c r="U5" s="35"/>
      <c r="V5" s="35"/>
    </row>
    <row r="6">
      <c r="A6" s="35" t="str">
        <f>IFERROR(__xludf.DUMMYFUNCTION("""COMPUTED_VALUE"""),"JP")</f>
        <v>JP</v>
      </c>
      <c r="B6" s="35" t="str">
        <f>IFERROR(__xludf.DUMMYFUNCTION("""COMPUTED_VALUE"""),"ニッカ")</f>
        <v>ニッカ</v>
      </c>
      <c r="C6" s="35" t="str">
        <f>IFERROR(__xludf.DUMMYFUNCTION("""COMPUTED_VALUE"""),"ニッカ")</f>
        <v>ニッカ</v>
      </c>
      <c r="D6" s="35" t="str">
        <f>IFERROR(__xludf.DUMMYFUNCTION("""COMPUTED_VALUE"""),"余市")</f>
        <v>余市</v>
      </c>
      <c r="E6" s="35" t="str">
        <f>IFERROR(__xludf.DUMMYFUNCTION("""COMPUTED_VALUE"""),"シングルカスク")</f>
        <v>シングルカスク</v>
      </c>
      <c r="F6" s="35" t="str">
        <f>IFERROR(__xludf.DUMMYFUNCTION("""COMPUTED_VALUE"""),"#420919")</f>
        <v>#420919</v>
      </c>
      <c r="G6" s="35" t="str">
        <f>IFERROR(__xludf.DUMMYFUNCTION("""COMPUTED_VALUE"""),"余市 10年")</f>
        <v>余市 10年</v>
      </c>
      <c r="H6" s="35" t="str">
        <f>IFERROR(__xludf.DUMMYFUNCTION("""COMPUTED_VALUE"""),"マイウイスキー")</f>
        <v>マイウイスキー</v>
      </c>
      <c r="I6" s="35"/>
      <c r="J6" s="35" t="str">
        <f>IFERROR(__xludf.DUMMYFUNCTION("""COMPUTED_VALUE"""),"ホワイトオーク新樽")</f>
        <v>ホワイトオーク新樽</v>
      </c>
      <c r="K6" s="35"/>
      <c r="L6" s="35"/>
      <c r="M6" s="35"/>
      <c r="N6" s="36">
        <f>IFERROR(__xludf.DUMMYFUNCTION("""COMPUTED_VALUE"""),0.55)</f>
        <v>0.55</v>
      </c>
      <c r="O6" s="35"/>
      <c r="P6" s="37"/>
      <c r="Q6" s="37"/>
      <c r="R6" s="37">
        <f>IFERROR(__xludf.DUMMYFUNCTION("""COMPUTED_VALUE"""),1400.0)</f>
        <v>1400</v>
      </c>
      <c r="S6" s="38">
        <f>IFERROR(__xludf.DUMMYFUNCTION("""COMPUTED_VALUE"""),45622.0)</f>
        <v>45622</v>
      </c>
      <c r="T6" s="35"/>
      <c r="U6" s="35"/>
      <c r="V6" s="35"/>
    </row>
    <row r="7">
      <c r="A7" s="35" t="str">
        <f>IFERROR(__xludf.DUMMYFUNCTION("""COMPUTED_VALUE"""),"JP")</f>
        <v>JP</v>
      </c>
      <c r="B7" s="35" t="str">
        <f>IFERROR(__xludf.DUMMYFUNCTION("""COMPUTED_VALUE"""),"ニッカ")</f>
        <v>ニッカ</v>
      </c>
      <c r="C7" s="35" t="str">
        <f>IFERROR(__xludf.DUMMYFUNCTION("""COMPUTED_VALUE"""),"ニッカ")</f>
        <v>ニッカ</v>
      </c>
      <c r="D7" s="35" t="str">
        <f>IFERROR(__xludf.DUMMYFUNCTION("""COMPUTED_VALUE"""),"余市")</f>
        <v>余市</v>
      </c>
      <c r="E7" s="35" t="str">
        <f>IFERROR(__xludf.DUMMYFUNCTION("""COMPUTED_VALUE"""),"シングルカスク")</f>
        <v>シングルカスク</v>
      </c>
      <c r="F7" s="35" t="str">
        <f>IFERROR(__xludf.DUMMYFUNCTION("""COMPUTED_VALUE"""),"#420921")</f>
        <v>#420921</v>
      </c>
      <c r="G7" s="35" t="str">
        <f>IFERROR(__xludf.DUMMYFUNCTION("""COMPUTED_VALUE"""),"余市 10年")</f>
        <v>余市 10年</v>
      </c>
      <c r="H7" s="35" t="str">
        <f>IFERROR(__xludf.DUMMYFUNCTION("""COMPUTED_VALUE"""),"マイウイスキー")</f>
        <v>マイウイスキー</v>
      </c>
      <c r="I7" s="35"/>
      <c r="J7" s="35" t="str">
        <f>IFERROR(__xludf.DUMMYFUNCTION("""COMPUTED_VALUE"""),"ホワイトオーク新樽")</f>
        <v>ホワイトオーク新樽</v>
      </c>
      <c r="K7" s="35"/>
      <c r="L7" s="35"/>
      <c r="M7" s="35"/>
      <c r="N7" s="36">
        <f>IFERROR(__xludf.DUMMYFUNCTION("""COMPUTED_VALUE"""),0.55)</f>
        <v>0.55</v>
      </c>
      <c r="O7" s="35"/>
      <c r="P7" s="37"/>
      <c r="Q7" s="37"/>
      <c r="R7" s="37">
        <f>IFERROR(__xludf.DUMMYFUNCTION("""COMPUTED_VALUE"""),1400.0)</f>
        <v>1400</v>
      </c>
      <c r="S7" s="38">
        <f>IFERROR(__xludf.DUMMYFUNCTION("""COMPUTED_VALUE"""),45621.0)</f>
        <v>45621</v>
      </c>
      <c r="T7" s="35"/>
      <c r="U7" s="35"/>
      <c r="V7" s="35"/>
    </row>
    <row r="8">
      <c r="A8" s="35" t="str">
        <f>IFERROR(__xludf.DUMMYFUNCTION("""COMPUTED_VALUE"""),"JP")</f>
        <v>JP</v>
      </c>
      <c r="B8" s="35" t="str">
        <f>IFERROR(__xludf.DUMMYFUNCTION("""COMPUTED_VALUE"""),"ニッカ")</f>
        <v>ニッカ</v>
      </c>
      <c r="C8" s="35" t="str">
        <f>IFERROR(__xludf.DUMMYFUNCTION("""COMPUTED_VALUE"""),"ニッカ")</f>
        <v>ニッカ</v>
      </c>
      <c r="D8" s="35" t="str">
        <f>IFERROR(__xludf.DUMMYFUNCTION("""COMPUTED_VALUE"""),"余市")</f>
        <v>余市</v>
      </c>
      <c r="E8" s="35" t="str">
        <f>IFERROR(__xludf.DUMMYFUNCTION("""COMPUTED_VALUE"""),"シングルカスク")</f>
        <v>シングルカスク</v>
      </c>
      <c r="F8" s="35" t="str">
        <f>IFERROR(__xludf.DUMMYFUNCTION("""COMPUTED_VALUE"""),"#420926")</f>
        <v>#420926</v>
      </c>
      <c r="G8" s="35" t="str">
        <f>IFERROR(__xludf.DUMMYFUNCTION("""COMPUTED_VALUE"""),"余市 10年")</f>
        <v>余市 10年</v>
      </c>
      <c r="H8" s="35" t="str">
        <f>IFERROR(__xludf.DUMMYFUNCTION("""COMPUTED_VALUE"""),"マイウイスキー")</f>
        <v>マイウイスキー</v>
      </c>
      <c r="I8" s="35"/>
      <c r="J8" s="35" t="str">
        <f>IFERROR(__xludf.DUMMYFUNCTION("""COMPUTED_VALUE"""),"ホワイトオーク新樽")</f>
        <v>ホワイトオーク新樽</v>
      </c>
      <c r="K8" s="35"/>
      <c r="L8" s="35"/>
      <c r="M8" s="35"/>
      <c r="N8" s="36">
        <f>IFERROR(__xludf.DUMMYFUNCTION("""COMPUTED_VALUE"""),0.56)</f>
        <v>0.56</v>
      </c>
      <c r="O8" s="35"/>
      <c r="P8" s="37"/>
      <c r="Q8" s="37"/>
      <c r="R8" s="37">
        <f>IFERROR(__xludf.DUMMYFUNCTION("""COMPUTED_VALUE"""),1400.0)</f>
        <v>1400</v>
      </c>
      <c r="S8" s="38">
        <f>IFERROR(__xludf.DUMMYFUNCTION("""COMPUTED_VALUE"""),45685.0)</f>
        <v>45685</v>
      </c>
      <c r="T8" s="35"/>
      <c r="U8" s="35"/>
      <c r="V8" s="35"/>
    </row>
    <row r="9">
      <c r="A9" s="35" t="str">
        <f>IFERROR(__xludf.DUMMYFUNCTION("""COMPUTED_VALUE"""),"JP")</f>
        <v>JP</v>
      </c>
      <c r="B9" s="35" t="str">
        <f>IFERROR(__xludf.DUMMYFUNCTION("""COMPUTED_VALUE"""),"ニッカ")</f>
        <v>ニッカ</v>
      </c>
      <c r="C9" s="35" t="str">
        <f>IFERROR(__xludf.DUMMYFUNCTION("""COMPUTED_VALUE"""),"ニッカ")</f>
        <v>ニッカ</v>
      </c>
      <c r="D9" s="35" t="str">
        <f>IFERROR(__xludf.DUMMYFUNCTION("""COMPUTED_VALUE"""),"余市")</f>
        <v>余市</v>
      </c>
      <c r="E9" s="35" t="str">
        <f>IFERROR(__xludf.DUMMYFUNCTION("""COMPUTED_VALUE"""),"シングルカスク")</f>
        <v>シングルカスク</v>
      </c>
      <c r="F9" s="35" t="str">
        <f>IFERROR(__xludf.DUMMYFUNCTION("""COMPUTED_VALUE"""),"#415211")</f>
        <v>#415211</v>
      </c>
      <c r="G9" s="35" t="str">
        <f>IFERROR(__xludf.DUMMYFUNCTION("""COMPUTED_VALUE"""),"余市 10年")</f>
        <v>余市 10年</v>
      </c>
      <c r="H9" s="35" t="str">
        <f>IFERROR(__xludf.DUMMYFUNCTION("""COMPUTED_VALUE"""),"マイウイスキー")</f>
        <v>マイウイスキー</v>
      </c>
      <c r="I9" s="35"/>
      <c r="J9" s="35" t="str">
        <f>IFERROR(__xludf.DUMMYFUNCTION("""COMPUTED_VALUE"""),"ホワイトオーク新樽")</f>
        <v>ホワイトオーク新樽</v>
      </c>
      <c r="K9" s="35"/>
      <c r="L9" s="35"/>
      <c r="M9" s="35"/>
      <c r="N9" s="36">
        <f>IFERROR(__xludf.DUMMYFUNCTION("""COMPUTED_VALUE"""),0.57)</f>
        <v>0.57</v>
      </c>
      <c r="O9" s="35"/>
      <c r="P9" s="37"/>
      <c r="Q9" s="37"/>
      <c r="R9" s="37">
        <f>IFERROR(__xludf.DUMMYFUNCTION("""COMPUTED_VALUE"""),1400.0)</f>
        <v>1400</v>
      </c>
      <c r="S9" s="38">
        <f>IFERROR(__xludf.DUMMYFUNCTION("""COMPUTED_VALUE"""),45685.0)</f>
        <v>45685</v>
      </c>
      <c r="T9" s="35"/>
      <c r="U9" s="35"/>
      <c r="V9" s="35"/>
    </row>
    <row r="10">
      <c r="A10" s="35" t="str">
        <f>IFERROR(__xludf.DUMMYFUNCTION("""COMPUTED_VALUE"""),"JP")</f>
        <v>JP</v>
      </c>
      <c r="B10" s="35" t="str">
        <f>IFERROR(__xludf.DUMMYFUNCTION("""COMPUTED_VALUE"""),"ニッカ")</f>
        <v>ニッカ</v>
      </c>
      <c r="C10" s="35" t="str">
        <f>IFERROR(__xludf.DUMMYFUNCTION("""COMPUTED_VALUE"""),"ニッカ")</f>
        <v>ニッカ</v>
      </c>
      <c r="D10" s="39"/>
      <c r="E10" s="35" t="str">
        <f>IFERROR(__xludf.DUMMYFUNCTION("""COMPUTED_VALUE"""),"ブレンデッドモルト")</f>
        <v>ブレンデッドモルト</v>
      </c>
      <c r="F10" s="35"/>
      <c r="G10" s="35" t="str">
        <f>IFERROR(__xludf.DUMMYFUNCTION("""COMPUTED_VALUE"""),"竹鶴 21年")</f>
        <v>竹鶴 21年</v>
      </c>
      <c r="H10" s="35"/>
      <c r="I10" s="35"/>
      <c r="J10" s="35"/>
      <c r="K10" s="35"/>
      <c r="L10" s="35"/>
      <c r="M10" s="35"/>
      <c r="N10" s="36">
        <f>IFERROR(__xludf.DUMMYFUNCTION("""COMPUTED_VALUE"""),0.43)</f>
        <v>0.43</v>
      </c>
      <c r="O10" s="35"/>
      <c r="P10" s="37"/>
      <c r="Q10" s="37"/>
      <c r="R10" s="37">
        <f>IFERROR(__xludf.DUMMYFUNCTION("""COMPUTED_VALUE"""),2200.0)</f>
        <v>2200</v>
      </c>
      <c r="S10" s="38">
        <f>IFERROR(__xludf.DUMMYFUNCTION("""COMPUTED_VALUE"""),45177.0)</f>
        <v>45177</v>
      </c>
      <c r="T10" s="35"/>
      <c r="U10" s="35"/>
      <c r="V10" s="35"/>
    </row>
    <row r="11">
      <c r="A11" s="35" t="str">
        <f>IFERROR(__xludf.DUMMYFUNCTION("""COMPUTED_VALUE"""),"JP")</f>
        <v>JP</v>
      </c>
      <c r="B11" s="35" t="str">
        <f>IFERROR(__xludf.DUMMYFUNCTION("""COMPUTED_VALUE"""),"ニッカ")</f>
        <v>ニッカ</v>
      </c>
      <c r="C11" s="35" t="str">
        <f>IFERROR(__xludf.DUMMYFUNCTION("""COMPUTED_VALUE"""),"ニッカ")</f>
        <v>ニッカ</v>
      </c>
      <c r="D11" s="39"/>
      <c r="E11" s="35" t="str">
        <f>IFERROR(__xludf.DUMMYFUNCTION("""COMPUTED_VALUE"""),"ブレンデッドモルト")</f>
        <v>ブレンデッドモルト</v>
      </c>
      <c r="F11" s="35"/>
      <c r="G11" s="35" t="str">
        <f>IFERROR(__xludf.DUMMYFUNCTION("""COMPUTED_VALUE"""),"竹鶴 21年 ノンチルフィルタード")</f>
        <v>竹鶴 21年 ノンチルフィルタード</v>
      </c>
      <c r="H11" s="35" t="str">
        <f>IFERROR(__xludf.DUMMYFUNCTION("""COMPUTED_VALUE"""),"創業80周年記念")</f>
        <v>創業80周年記念</v>
      </c>
      <c r="I11" s="35"/>
      <c r="J11" s="35"/>
      <c r="K11" s="35"/>
      <c r="L11" s="35"/>
      <c r="M11" s="35"/>
      <c r="N11" s="36">
        <f>IFERROR(__xludf.DUMMYFUNCTION("""COMPUTED_VALUE"""),0.48)</f>
        <v>0.48</v>
      </c>
      <c r="O11" s="35">
        <f>IFERROR(__xludf.DUMMYFUNCTION("""COMPUTED_VALUE"""),3000.0)</f>
        <v>3000</v>
      </c>
      <c r="P11" s="37"/>
      <c r="Q11" s="37"/>
      <c r="R11" s="37">
        <f>IFERROR(__xludf.DUMMYFUNCTION("""COMPUTED_VALUE"""),2500.0)</f>
        <v>2500</v>
      </c>
      <c r="S11" s="38">
        <f>IFERROR(__xludf.DUMMYFUNCTION("""COMPUTED_VALUE"""),45007.0)</f>
        <v>45007</v>
      </c>
      <c r="T11" s="35"/>
      <c r="U11" s="35"/>
      <c r="V11" s="35"/>
    </row>
    <row r="12">
      <c r="A12" s="35" t="str">
        <f>IFERROR(__xludf.DUMMYFUNCTION("""COMPUTED_VALUE"""),"JP")</f>
        <v>JP</v>
      </c>
      <c r="B12" s="35" t="str">
        <f>IFERROR(__xludf.DUMMYFUNCTION("""COMPUTED_VALUE"""),"ニッカ")</f>
        <v>ニッカ</v>
      </c>
      <c r="C12" s="35" t="str">
        <f>IFERROR(__xludf.DUMMYFUNCTION("""COMPUTED_VALUE"""),"ニッカ")</f>
        <v>ニッカ</v>
      </c>
      <c r="D12" s="39"/>
      <c r="E12" s="35" t="str">
        <f>IFERROR(__xludf.DUMMYFUNCTION("""COMPUTED_VALUE"""),"ブレンデッドモルト")</f>
        <v>ブレンデッドモルト</v>
      </c>
      <c r="F12" s="35"/>
      <c r="G12" s="35" t="str">
        <f>IFERROR(__xludf.DUMMYFUNCTION("""COMPUTED_VALUE"""),"竹鶴 25年")</f>
        <v>竹鶴 25年</v>
      </c>
      <c r="H12" s="35"/>
      <c r="I12" s="35"/>
      <c r="J12" s="35"/>
      <c r="K12" s="35"/>
      <c r="L12" s="35"/>
      <c r="M12" s="35"/>
      <c r="N12" s="36">
        <f>IFERROR(__xludf.DUMMYFUNCTION("""COMPUTED_VALUE"""),0.43)</f>
        <v>0.43</v>
      </c>
      <c r="O12" s="35"/>
      <c r="P12" s="37"/>
      <c r="Q12" s="37"/>
      <c r="R12" s="37">
        <f>IFERROR(__xludf.DUMMYFUNCTION("""COMPUTED_VALUE"""),8200.0)</f>
        <v>8200</v>
      </c>
      <c r="S12" s="38">
        <f>IFERROR(__xludf.DUMMYFUNCTION("""COMPUTED_VALUE"""),44901.0)</f>
        <v>44901</v>
      </c>
      <c r="T12" s="35"/>
      <c r="U12" s="35"/>
      <c r="V12" s="35"/>
    </row>
    <row r="13">
      <c r="A13" s="35" t="str">
        <f>IFERROR(__xludf.DUMMYFUNCTION("""COMPUTED_VALUE"""),"JP")</f>
        <v>JP</v>
      </c>
      <c r="B13" s="35" t="str">
        <f>IFERROR(__xludf.DUMMYFUNCTION("""COMPUTED_VALUE"""),"キリン")</f>
        <v>キリン</v>
      </c>
      <c r="C13" s="35" t="str">
        <f>IFERROR(__xludf.DUMMYFUNCTION("""COMPUTED_VALUE"""),"キリン")</f>
        <v>キリン</v>
      </c>
      <c r="D13" s="35" t="str">
        <f>IFERROR(__xludf.DUMMYFUNCTION("""COMPUTED_VALUE"""),"御殿場")</f>
        <v>御殿場</v>
      </c>
      <c r="E13" s="35" t="str">
        <f>IFERROR(__xludf.DUMMYFUNCTION("""COMPUTED_VALUE"""),"シングルモルト")</f>
        <v>シングルモルト</v>
      </c>
      <c r="F13" s="35"/>
      <c r="G13" s="35" t="str">
        <f>IFERROR(__xludf.DUMMYFUNCTION("""COMPUTED_VALUE"""),"富士山麓 18年")</f>
        <v>富士山麓 18年</v>
      </c>
      <c r="H13" s="35"/>
      <c r="I13" s="35"/>
      <c r="J13" s="35"/>
      <c r="K13" s="35"/>
      <c r="L13" s="35"/>
      <c r="M13" s="35"/>
      <c r="N13" s="36">
        <f>IFERROR(__xludf.DUMMYFUNCTION("""COMPUTED_VALUE"""),0.43)</f>
        <v>0.43</v>
      </c>
      <c r="O13" s="35"/>
      <c r="P13" s="37"/>
      <c r="Q13" s="37"/>
      <c r="R13" s="37">
        <f>IFERROR(__xludf.DUMMYFUNCTION("""COMPUTED_VALUE"""),2200.0)</f>
        <v>2200</v>
      </c>
      <c r="S13" s="38">
        <f>IFERROR(__xludf.DUMMYFUNCTION("""COMPUTED_VALUE"""),45235.0)</f>
        <v>45235</v>
      </c>
      <c r="T13" s="35"/>
      <c r="U13" s="35"/>
      <c r="V13" s="35"/>
    </row>
    <row r="14">
      <c r="A14" s="35" t="str">
        <f>IFERROR(__xludf.DUMMYFUNCTION("""COMPUTED_VALUE"""),"JP")</f>
        <v>JP</v>
      </c>
      <c r="B14" s="35" t="str">
        <f>IFERROR(__xludf.DUMMYFUNCTION("""COMPUTED_VALUE"""),"キリン")</f>
        <v>キリン</v>
      </c>
      <c r="C14" s="35" t="str">
        <f>IFERROR(__xludf.DUMMYFUNCTION("""COMPUTED_VALUE"""),"キリン")</f>
        <v>キリン</v>
      </c>
      <c r="D14" s="40" t="str">
        <f>IFERROR(__xludf.DUMMYFUNCTION("""COMPUTED_VALUE"""),"御殿場")</f>
        <v>御殿場</v>
      </c>
      <c r="E14" s="35" t="str">
        <f>IFERROR(__xludf.DUMMYFUNCTION("""COMPUTED_VALUE"""),"シングルブレンデッド")</f>
        <v>シングルブレンデッド</v>
      </c>
      <c r="F14" s="35"/>
      <c r="G14" s="35" t="str">
        <f>IFERROR(__xludf.DUMMYFUNCTION("""COMPUTED_VALUE"""),"富士 シングルブレンデッド 2022 マスターピース")</f>
        <v>富士 シングルブレンデッド 2022 マスターピース</v>
      </c>
      <c r="H14" s="35"/>
      <c r="I14" s="35"/>
      <c r="J14" s="35"/>
      <c r="K14" s="35"/>
      <c r="L14" s="35"/>
      <c r="M14" s="35"/>
      <c r="N14" s="36">
        <f>IFERROR(__xludf.DUMMYFUNCTION("""COMPUTED_VALUE"""),0.5)</f>
        <v>0.5</v>
      </c>
      <c r="O14" s="35"/>
      <c r="P14" s="37"/>
      <c r="Q14" s="37"/>
      <c r="R14" s="37">
        <f>IFERROR(__xludf.DUMMYFUNCTION("""COMPUTED_VALUE"""),2500.0)</f>
        <v>2500</v>
      </c>
      <c r="S14" s="38">
        <f>IFERROR(__xludf.DUMMYFUNCTION("""COMPUTED_VALUE"""),44900.0)</f>
        <v>44900</v>
      </c>
      <c r="T14" s="35"/>
      <c r="U14" s="35"/>
      <c r="V14" s="35"/>
    </row>
    <row r="15">
      <c r="A15" s="35" t="str">
        <f>IFERROR(__xludf.DUMMYFUNCTION("""COMPUTED_VALUE"""),"JP")</f>
        <v>JP</v>
      </c>
      <c r="B15" s="35" t="str">
        <f>IFERROR(__xludf.DUMMYFUNCTION("""COMPUTED_VALUE"""),"ベンチャー")</f>
        <v>ベンチャー</v>
      </c>
      <c r="C15" s="35" t="str">
        <f>IFERROR(__xludf.DUMMYFUNCTION("""COMPUTED_VALUE"""),"ベンチャー")</f>
        <v>ベンチャー</v>
      </c>
      <c r="D15" s="35" t="str">
        <f>IFERROR(__xludf.DUMMYFUNCTION("""COMPUTED_VALUE"""),"秩父")</f>
        <v>秩父</v>
      </c>
      <c r="E15" s="35" t="str">
        <f>IFERROR(__xludf.DUMMYFUNCTION("""COMPUTED_VALUE"""),"シングルモルト")</f>
        <v>シングルモルト</v>
      </c>
      <c r="F15" s="35"/>
      <c r="G15" s="35" t="str">
        <f>IFERROR(__xludf.DUMMYFUNCTION("""COMPUTED_VALUE"""),"イチローズモルト 15年 ファイナルヴィンテージオブ羽生")</f>
        <v>イチローズモルト 15年 ファイナルヴィンテージオブ羽生</v>
      </c>
      <c r="H15" s="35"/>
      <c r="I15" s="35"/>
      <c r="J15" s="35"/>
      <c r="K15" s="35"/>
      <c r="L15" s="35"/>
      <c r="M15" s="35"/>
      <c r="N15" s="36">
        <f>IFERROR(__xludf.DUMMYFUNCTION("""COMPUTED_VALUE"""),0.465)</f>
        <v>0.465</v>
      </c>
      <c r="O15" s="35"/>
      <c r="P15" s="37"/>
      <c r="Q15" s="37"/>
      <c r="R15" s="37">
        <f>IFERROR(__xludf.DUMMYFUNCTION("""COMPUTED_VALUE"""),2200.0)</f>
        <v>2200</v>
      </c>
      <c r="S15" s="38">
        <f>IFERROR(__xludf.DUMMYFUNCTION("""COMPUTED_VALUE"""),44975.0)</f>
        <v>44975</v>
      </c>
      <c r="T15" s="35"/>
      <c r="U15" s="35"/>
      <c r="V15" s="35"/>
    </row>
    <row r="16">
      <c r="A16" s="35" t="str">
        <f>IFERROR(__xludf.DUMMYFUNCTION("""COMPUTED_VALUE"""),"JP")</f>
        <v>JP</v>
      </c>
      <c r="B16" s="35" t="str">
        <f>IFERROR(__xludf.DUMMYFUNCTION("""COMPUTED_VALUE"""),"ベンチャー")</f>
        <v>ベンチャー</v>
      </c>
      <c r="C16" s="35" t="str">
        <f>IFERROR(__xludf.DUMMYFUNCTION("""COMPUTED_VALUE"""),"ベンチャー")</f>
        <v>ベンチャー</v>
      </c>
      <c r="D16" s="35" t="str">
        <f>IFERROR(__xludf.DUMMYFUNCTION("""COMPUTED_VALUE"""),"秩父")</f>
        <v>秩父</v>
      </c>
      <c r="E16" s="35" t="str">
        <f>IFERROR(__xludf.DUMMYFUNCTION("""COMPUTED_VALUE"""),"シングルモルト")</f>
        <v>シングルモルト</v>
      </c>
      <c r="F16" s="35"/>
      <c r="G16" s="35" t="str">
        <f>IFERROR(__xludf.DUMMYFUNCTION("""COMPUTED_VALUE"""),"イチローズモルト秩父 ファーストテン")</f>
        <v>イチローズモルト秩父 ファーストテン</v>
      </c>
      <c r="H16" s="35"/>
      <c r="I16" s="35"/>
      <c r="J16" s="35"/>
      <c r="K16" s="35"/>
      <c r="L16" s="35"/>
      <c r="M16" s="35"/>
      <c r="N16" s="36"/>
      <c r="O16" s="35"/>
      <c r="P16" s="37"/>
      <c r="Q16" s="37"/>
      <c r="R16" s="37">
        <f>IFERROR(__xludf.DUMMYFUNCTION("""COMPUTED_VALUE"""),2200.0)</f>
        <v>2200</v>
      </c>
      <c r="S16" s="38">
        <f>IFERROR(__xludf.DUMMYFUNCTION("""COMPUTED_VALUE"""),44974.0)</f>
        <v>44974</v>
      </c>
      <c r="T16" s="35"/>
      <c r="U16" s="35"/>
      <c r="V16" s="35"/>
    </row>
    <row r="17">
      <c r="A17" s="35" t="str">
        <f>IFERROR(__xludf.DUMMYFUNCTION("""COMPUTED_VALUE"""),"JP")</f>
        <v>JP</v>
      </c>
      <c r="B17" s="35" t="str">
        <f>IFERROR(__xludf.DUMMYFUNCTION("""COMPUTED_VALUE"""),"ベンチャー")</f>
        <v>ベンチャー</v>
      </c>
      <c r="C17" s="35" t="str">
        <f>IFERROR(__xludf.DUMMYFUNCTION("""COMPUTED_VALUE"""),"ベンチャー")</f>
        <v>ベンチャー</v>
      </c>
      <c r="D17" s="35"/>
      <c r="E17" s="35" t="str">
        <f>IFERROR(__xludf.DUMMYFUNCTION("""COMPUTED_VALUE"""),"ブレンデッド")</f>
        <v>ブレンデッド</v>
      </c>
      <c r="F17" s="35"/>
      <c r="G17" s="35" t="str">
        <f>IFERROR(__xludf.DUMMYFUNCTION("""COMPUTED_VALUE"""),"イチローズ モルト&amp;グレーン ジャパニーズブレンデッド 2022")</f>
        <v>イチローズ モルト&amp;グレーン ジャパニーズブレンデッド 2022</v>
      </c>
      <c r="H17" s="35"/>
      <c r="I17" s="35"/>
      <c r="J17" s="35"/>
      <c r="K17" s="35"/>
      <c r="L17" s="35"/>
      <c r="M17" s="35"/>
      <c r="N17" s="36"/>
      <c r="O17" s="35"/>
      <c r="P17" s="37"/>
      <c r="Q17" s="37"/>
      <c r="R17" s="37">
        <f>IFERROR(__xludf.DUMMYFUNCTION("""COMPUTED_VALUE"""),7000.0)</f>
        <v>7000</v>
      </c>
      <c r="S17" s="38">
        <f>IFERROR(__xludf.DUMMYFUNCTION("""COMPUTED_VALUE"""),44966.0)</f>
        <v>44966</v>
      </c>
      <c r="T17" s="35"/>
      <c r="U17" s="35"/>
      <c r="V17" s="35"/>
    </row>
    <row r="18">
      <c r="A18" s="35" t="str">
        <f>IFERROR(__xludf.DUMMYFUNCTION("""COMPUTED_VALUE"""),"JP")</f>
        <v>JP</v>
      </c>
      <c r="B18" s="35" t="str">
        <f>IFERROR(__xludf.DUMMYFUNCTION("""COMPUTED_VALUE"""),"マルス")</f>
        <v>マルス</v>
      </c>
      <c r="C18" s="35" t="str">
        <f>IFERROR(__xludf.DUMMYFUNCTION("""COMPUTED_VALUE"""),"マルス")</f>
        <v>マルス</v>
      </c>
      <c r="D18" s="35" t="str">
        <f>IFERROR(__xludf.DUMMYFUNCTION("""COMPUTED_VALUE"""),"駒ヶ岳")</f>
        <v>駒ヶ岳</v>
      </c>
      <c r="E18" s="35" t="str">
        <f>IFERROR(__xludf.DUMMYFUNCTION("""COMPUTED_VALUE"""),"シングルモルト")</f>
        <v>シングルモルト</v>
      </c>
      <c r="F18" s="35"/>
      <c r="G18" s="35" t="str">
        <f>IFERROR(__xludf.DUMMYFUNCTION("""COMPUTED_VALUE"""),"駒ヶ岳 27年")</f>
        <v>駒ヶ岳 27年</v>
      </c>
      <c r="H18" s="35"/>
      <c r="I18" s="35"/>
      <c r="J18" s="35"/>
      <c r="K18" s="35"/>
      <c r="L18" s="35"/>
      <c r="M18" s="35"/>
      <c r="N18" s="36"/>
      <c r="O18" s="35"/>
      <c r="P18" s="37"/>
      <c r="Q18" s="37"/>
      <c r="R18" s="37">
        <f>IFERROR(__xludf.DUMMYFUNCTION("""COMPUTED_VALUE"""),4000.0)</f>
        <v>4000</v>
      </c>
      <c r="S18" s="38">
        <f>IFERROR(__xludf.DUMMYFUNCTION("""COMPUTED_VALUE"""),45686.0)</f>
        <v>45686</v>
      </c>
      <c r="T18" s="35"/>
      <c r="U18" s="35"/>
      <c r="V18" s="35"/>
    </row>
    <row r="19">
      <c r="A19" s="35" t="str">
        <f>IFERROR(__xludf.DUMMYFUNCTION("""COMPUTED_VALUE"""),"JP")</f>
        <v>JP</v>
      </c>
      <c r="B19" s="35" t="str">
        <f>IFERROR(__xludf.DUMMYFUNCTION("""COMPUTED_VALUE"""),"マルス")</f>
        <v>マルス</v>
      </c>
      <c r="C19" s="35" t="str">
        <f>IFERROR(__xludf.DUMMYFUNCTION("""COMPUTED_VALUE"""),"マルス")</f>
        <v>マルス</v>
      </c>
      <c r="D19" s="35" t="str">
        <f>IFERROR(__xludf.DUMMYFUNCTION("""COMPUTED_VALUE"""),"駒ヶ岳")</f>
        <v>駒ヶ岳</v>
      </c>
      <c r="E19" s="35" t="str">
        <f>IFERROR(__xludf.DUMMYFUNCTION("""COMPUTED_VALUE"""),"シングルモルト")</f>
        <v>シングルモルト</v>
      </c>
      <c r="F19" s="35"/>
      <c r="G19" s="35" t="str">
        <f>IFERROR(__xludf.DUMMYFUNCTION("""COMPUTED_VALUE"""),"駒ヶ岳 30年 アメリカンホワイトオーク")</f>
        <v>駒ヶ岳 30年 アメリカンホワイトオーク</v>
      </c>
      <c r="H19" s="35"/>
      <c r="I19" s="35"/>
      <c r="J19" s="35"/>
      <c r="K19" s="35"/>
      <c r="L19" s="35"/>
      <c r="M19" s="35"/>
      <c r="N19" s="36"/>
      <c r="O19" s="35"/>
      <c r="P19" s="37"/>
      <c r="Q19" s="37"/>
      <c r="R19" s="37">
        <f>IFERROR(__xludf.DUMMYFUNCTION("""COMPUTED_VALUE"""),7000.0)</f>
        <v>7000</v>
      </c>
      <c r="S19" s="38">
        <f>IFERROR(__xludf.DUMMYFUNCTION("""COMPUTED_VALUE"""),45005.0)</f>
        <v>45005</v>
      </c>
      <c r="T19" s="35"/>
      <c r="U19" s="35"/>
      <c r="V19" s="35"/>
    </row>
    <row r="20">
      <c r="A20" s="35" t="str">
        <f>IFERROR(__xludf.DUMMYFUNCTION("""COMPUTED_VALUE"""),"JP")</f>
        <v>JP</v>
      </c>
      <c r="B20" s="35" t="str">
        <f>IFERROR(__xludf.DUMMYFUNCTION("""COMPUTED_VALUE"""),"マルス")</f>
        <v>マルス</v>
      </c>
      <c r="C20" s="35" t="str">
        <f>IFERROR(__xludf.DUMMYFUNCTION("""COMPUTED_VALUE"""),"マルス")</f>
        <v>マルス</v>
      </c>
      <c r="D20" s="35" t="str">
        <f>IFERROR(__xludf.DUMMYFUNCTION("""COMPUTED_VALUE"""),"駒ヶ岳")</f>
        <v>駒ヶ岳</v>
      </c>
      <c r="E20" s="35" t="str">
        <f>IFERROR(__xludf.DUMMYFUNCTION("""COMPUTED_VALUE"""),"シングルモルト")</f>
        <v>シングルモルト</v>
      </c>
      <c r="F20" s="35"/>
      <c r="G20" s="35" t="str">
        <f>IFERROR(__xludf.DUMMYFUNCTION("""COMPUTED_VALUE"""),"駒ヶ岳 30年 シェリーカスク")</f>
        <v>駒ヶ岳 30年 シェリーカスク</v>
      </c>
      <c r="H20" s="35"/>
      <c r="I20" s="35"/>
      <c r="J20" s="35"/>
      <c r="K20" s="35"/>
      <c r="L20" s="35"/>
      <c r="M20" s="35"/>
      <c r="N20" s="36"/>
      <c r="O20" s="35"/>
      <c r="P20" s="37"/>
      <c r="Q20" s="37"/>
      <c r="R20" s="37">
        <f>IFERROR(__xludf.DUMMYFUNCTION("""COMPUTED_VALUE"""),7000.0)</f>
        <v>7000</v>
      </c>
      <c r="S20" s="38">
        <f>IFERROR(__xludf.DUMMYFUNCTION("""COMPUTED_VALUE"""),45006.0)</f>
        <v>45006</v>
      </c>
      <c r="T20" s="35"/>
      <c r="U20" s="35"/>
      <c r="V20" s="35"/>
    </row>
    <row r="21" ht="15.75" customHeight="1">
      <c r="A21" s="35" t="str">
        <f>IFERROR(__xludf.DUMMYFUNCTION("""COMPUTED_VALUE"""),"JP")</f>
        <v>JP</v>
      </c>
      <c r="B21" s="35" t="str">
        <f>IFERROR(__xludf.DUMMYFUNCTION("""COMPUTED_VALUE"""),"堅展実業")</f>
        <v>堅展実業</v>
      </c>
      <c r="C21" s="35" t="str">
        <f>IFERROR(__xludf.DUMMYFUNCTION("""COMPUTED_VALUE"""),"堅展実業")</f>
        <v>堅展実業</v>
      </c>
      <c r="D21" s="35" t="str">
        <f>IFERROR(__xludf.DUMMYFUNCTION("""COMPUTED_VALUE"""),"厚岸")</f>
        <v>厚岸</v>
      </c>
      <c r="E21" s="35" t="str">
        <f>IFERROR(__xludf.DUMMYFUNCTION("""COMPUTED_VALUE"""),"シングルカスク")</f>
        <v>シングルカスク</v>
      </c>
      <c r="F21" s="35" t="str">
        <f>IFERROR(__xludf.DUMMYFUNCTION("""COMPUTED_VALUE"""),"#607")</f>
        <v>#607</v>
      </c>
      <c r="G21" s="35" t="str">
        <f>IFERROR(__xludf.DUMMYFUNCTION("""COMPUTED_VALUE"""),"厚岸 5年 ヘビリーピーテッド")</f>
        <v>厚岸 5年 ヘビリーピーテッド</v>
      </c>
      <c r="H21" s="35" t="str">
        <f>IFERROR(__xludf.DUMMYFUNCTION("""COMPUTED_VALUE"""),"for BAR fishborn")</f>
        <v>for BAR fishborn</v>
      </c>
      <c r="I21" s="35"/>
      <c r="J21" s="35"/>
      <c r="K21" s="35"/>
      <c r="L21" s="35"/>
      <c r="M21" s="35"/>
      <c r="N21" s="36"/>
      <c r="O21" s="35"/>
      <c r="P21" s="37"/>
      <c r="Q21" s="37"/>
      <c r="R21" s="37">
        <f>IFERROR(__xludf.DUMMYFUNCTION("""COMPUTED_VALUE"""),2800.0)</f>
        <v>2800</v>
      </c>
      <c r="S21" s="38">
        <f>IFERROR(__xludf.DUMMYFUNCTION("""COMPUTED_VALUE"""),44979.0)</f>
        <v>44979</v>
      </c>
      <c r="T21" s="35"/>
      <c r="U21" s="35"/>
      <c r="V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drawing r:id="rId1"/>
  <tableParts count="1">
    <tablePart r:id="rId3"/>
  </tableParts>
</worksheet>
</file>